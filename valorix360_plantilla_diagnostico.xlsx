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Indicadores" sheetId="3" state="visible" r:id="rId5"/>
    <sheet name="Análisis" sheetId="4" state="visible" r:id="rId6"/>
    <sheet name="Avanzado" sheetId="5" state="visible" r:id="rId7"/>
    <sheet name="Valor y riesgo" sheetId="6" state="visible" r:id="rId8"/>
    <sheet name="Histórico" sheetId="7" state="visible" r:id="rId9"/>
    <sheet name="Plan de acció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<sst xmlns="http://schemas.openxmlformats.org/spreadsheetml/2006/main" count="468" uniqueCount="391">
  <si>
    <t xml:space="preserve">VALORIX360 · Plantilla de diagnóstico financiero</t>
  </si>
  <si>
    <t xml:space="preserve">Liquidez · Flujo de caja · Utilidades · Inventarios · Endeudamiento</t>
  </si>
  <si>
    <t xml:space="preserve">CÓMO USAR</t>
  </si>
  <si>
    <t xml:space="preserve">1. Hoja Datos</t>
  </si>
  <si>
    <t xml:space="preserve">Digita los estados financieros del cliente en las celdas con texto azul y fondo amarillo (periodo actual y periodo anterior). Los valores precargados son un EJEMPLO: reemplázalos.</t>
  </si>
  <si>
    <t xml:space="preserve">2. Hoja Indicadores</t>
  </si>
  <si>
    <t xml:space="preserve">Se calcula sola. Compara contra una referencia editable (celdas azules) y marca cada indicador como Bien o Revisar. Ajusta las referencias al sector del cliente.</t>
  </si>
  <si>
    <t xml:space="preserve">Hoja Análisis</t>
  </si>
  <si>
    <t xml:space="preserve">Análisis horizontal (variación entre periodos) y vertical (peso de cada cuenta sobre activos o ingresos). Marca las variaciones superiores a 20%.</t>
  </si>
  <si>
    <t xml:space="preserve">Hoja Avanzado</t>
  </si>
  <si>
    <t xml:space="preserve">Capital de trabajo (KTNO y PKT), DuPont, EBITDA normalizado, últimos 12 meses (LTM), deuda neta, covenants y perfil de vencimientos. Requiere los datos adicionales de la hoja Datos (filas 42 a 60).</t>
  </si>
  <si>
    <t xml:space="preserve">Hoja Valor y riesgo</t>
  </si>
  <si>
    <t xml:space="preserve">ROIC y EVA frente al costo de capital, puntaje Altman Z'' (mercados emergentes), punto de equilibrio, calidad de utilidades y pruebas de estrés. Requiere los supuestos de la hoja Datos (filas 61 a 67).</t>
  </si>
  <si>
    <t xml:space="preserve">Hoja Histórico</t>
  </si>
  <si>
    <t xml:space="preserve">Tendencia de 3 años: crecimiento, CAGR, márgenes, conversión a caja y apalancamiento. Se digita con estados de años anteriores.</t>
  </si>
  <si>
    <t xml:space="preserve">3. Hoja Plan de acción</t>
  </si>
  <si>
    <t xml:space="preserve">Para cada indicador en Revisar, busca el área correspondiente y selecciona las palancas de mejora.</t>
  </si>
  <si>
    <t xml:space="preserve">Unidades</t>
  </si>
  <si>
    <t xml:space="preserve">Todo en millones de pesos (COP) salvo que cambies la nota. Los días del periodo se ajustan en Datos (365 para año, 90 para trimestre).</t>
  </si>
  <si>
    <t xml:space="preserve">Código de colores</t>
  </si>
  <si>
    <t xml:space="preserve">Azul = dato que se digita · Negro = fórmula · Fondo amarillo = celda para completar.</t>
  </si>
  <si>
    <t xml:space="preserve">QUÉ PEDIR AL CLIENTE</t>
  </si>
  <si>
    <t xml:space="preserve">Estados financieros</t>
  </si>
  <si>
    <t xml:space="preserve">Balance general y estado de resultados del periodo actual y del anterior (idealmente 3 años) y flujo de caja o, en su defecto, extractos bancarios del periodo.</t>
  </si>
  <si>
    <t xml:space="preserve">Cartera</t>
  </si>
  <si>
    <t xml:space="preserve">Cuentas por cobrar por edades (corriente, 30, 60, 90+ días) y concentración por cliente.</t>
  </si>
  <si>
    <t xml:space="preserve">Inventarios</t>
  </si>
  <si>
    <t xml:space="preserve">Inventario por referencia con rotación, antigüedad y valor; listado de obsoletos o de baja rotación.</t>
  </si>
  <si>
    <t xml:space="preserve">Proveedores y deuda</t>
  </si>
  <si>
    <t xml:space="preserve">Cuentas por pagar con plazos pactados; tabla de obligaciones financieras (saldo, tasa, plazo, cuota).</t>
  </si>
  <si>
    <t xml:space="preserve">Proyecciones</t>
  </si>
  <si>
    <t xml:space="preserve">Presupuesto del año, plan de inversiones y estacionalidad de ventas y recaudos.</t>
  </si>
  <si>
    <t xml:space="preserve">NOTAS Y SUPUESTOS</t>
  </si>
  <si>
    <t xml:space="preserve">Referencias orientativas</t>
  </si>
  <si>
    <t xml:space="preserve">Los valores de referencia de la hoja Indicadores son puntos de partida genéricos, no estándares oficiales. Cada sector (comercio, manufactura, servicios) tiene rangos distintos: ajústalos con datos del sector del cliente.</t>
  </si>
  <si>
    <t xml:space="preserve">Datos de ejemplo</t>
  </si>
  <si>
    <t xml:space="preserve">Cifras ilustrativas creadas por Valorix360 para mostrar el formato esperado; no corresponden a ninguna empresa real.</t>
  </si>
  <si>
    <t xml:space="preserve">Datos del cliente</t>
  </si>
  <si>
    <t xml:space="preserve">Cifras en millones de COP · celdas azules con fondo amarillo = digitar (precargadas con ejemplo)</t>
  </si>
  <si>
    <t xml:space="preserve">Concepto</t>
  </si>
  <si>
    <t xml:space="preserve">Periodo actual</t>
  </si>
  <si>
    <t xml:space="preserve">Periodo anterior</t>
  </si>
  <si>
    <t xml:space="preserve">Nota</t>
  </si>
  <si>
    <t xml:space="preserve">BALANCE GENERAL</t>
  </si>
  <si>
    <t xml:space="preserve">Efectivo y equivalentes</t>
  </si>
  <si>
    <t xml:space="preserve">Cuentas por cobrar (clientes)</t>
  </si>
  <si>
    <t xml:space="preserve">Otros activos corrientes</t>
  </si>
  <si>
    <t xml:space="preserve">Total activo corriente</t>
  </si>
  <si>
    <t xml:space="preserve">Activos no corrientes</t>
  </si>
  <si>
    <t xml:space="preserve">Propiedad, planta y equipo, intangibles, etc.</t>
  </si>
  <si>
    <t xml:space="preserve">Total activos</t>
  </si>
  <si>
    <t xml:space="preserve">Obligaciones financieras de corto plazo</t>
  </si>
  <si>
    <t xml:space="preserve">Incluye porción corriente de la deuda de largo plazo</t>
  </si>
  <si>
    <t xml:space="preserve">Proveedores</t>
  </si>
  <si>
    <t xml:space="preserve">Otros pasivos corrientes</t>
  </si>
  <si>
    <t xml:space="preserve">Impuestos por pagar, nómina, anticipos</t>
  </si>
  <si>
    <t xml:space="preserve">Total pasivo corriente</t>
  </si>
  <si>
    <t xml:space="preserve">Pasivo no corriente</t>
  </si>
  <si>
    <t xml:space="preserve">Total pasivos</t>
  </si>
  <si>
    <t xml:space="preserve">Patrimonio</t>
  </si>
  <si>
    <t xml:space="preserve">Control de cuadre (Activos − Pasivos − Patrimonio)</t>
  </si>
  <si>
    <t xml:space="preserve">Debe dar 0; si no, hay un error de digitación</t>
  </si>
  <si>
    <t xml:space="preserve">ESTADO DE RESULTADOS</t>
  </si>
  <si>
    <t xml:space="preserve">Ingresos por ventas</t>
  </si>
  <si>
    <t xml:space="preserve">Costo de ventas</t>
  </si>
  <si>
    <t xml:space="preserve">Gastos operativos (sin depreciación)</t>
  </si>
  <si>
    <t xml:space="preserve">Administración y ventas</t>
  </si>
  <si>
    <t xml:space="preserve">Depreciación y amortización</t>
  </si>
  <si>
    <t xml:space="preserve">Gastos financieros</t>
  </si>
  <si>
    <t xml:space="preserve">Intereses y comisiones</t>
  </si>
  <si>
    <t xml:space="preserve">Impuestos</t>
  </si>
  <si>
    <t xml:space="preserve">Utilidad bruta</t>
  </si>
  <si>
    <t xml:space="preserve">EBITDA</t>
  </si>
  <si>
    <t xml:space="preserve">Utilidad operativa</t>
  </si>
  <si>
    <t xml:space="preserve">Utilidad neta</t>
  </si>
  <si>
    <t xml:space="preserve">FLUJO DE CAJA</t>
  </si>
  <si>
    <t xml:space="preserve">Flujo de caja operativo</t>
  </si>
  <si>
    <t xml:space="preserve">Del estado de flujo de efectivo</t>
  </si>
  <si>
    <t xml:space="preserve">Inversión en activos fijos (Capex)</t>
  </si>
  <si>
    <t xml:space="preserve">Flujo de caja libre</t>
  </si>
  <si>
    <t xml:space="preserve">Servicio de la deuda (capital + intereses)</t>
  </si>
  <si>
    <t xml:space="preserve">Pagos del periodo</t>
  </si>
  <si>
    <t xml:space="preserve">Días del periodo</t>
  </si>
  <si>
    <t xml:space="preserve">365 = año · 90 = trimestre</t>
  </si>
  <si>
    <t xml:space="preserve">DATOS ADICIONALES</t>
  </si>
  <si>
    <t xml:space="preserve">Deuda financiera de largo plazo</t>
  </si>
  <si>
    <t xml:space="preserve">Obligaciones financieras no corrientes</t>
  </si>
  <si>
    <t xml:space="preserve">Gastos no recurrentes (se suman al EBITDA)</t>
  </si>
  <si>
    <t xml:space="preserve">Provisiones extraordinarias, castigos, gastos únicos (ver notas)</t>
  </si>
  <si>
    <t xml:space="preserve">Ingresos no recurrentes (se restan del EBITDA)</t>
  </si>
  <si>
    <t xml:space="preserve">Venta de activos, recuperaciones, diferencia en cambio</t>
  </si>
  <si>
    <t xml:space="preserve">AÑO COMPLETO ANTERIOR (solo si el corte es intermedio, días &lt; 365)</t>
  </si>
  <si>
    <t xml:space="preserve">Ingresos del año completo anterior</t>
  </si>
  <si>
    <t xml:space="preserve">Para calcular los últimos 12 meses (LTM)</t>
  </si>
  <si>
    <t xml:space="preserve">Costo de ventas del año completo anterior</t>
  </si>
  <si>
    <t xml:space="preserve">Gastos operativos (sin D&amp;A) del año completo anterior</t>
  </si>
  <si>
    <t xml:space="preserve">Depreciación y amortización del año completo anterior</t>
  </si>
  <si>
    <t xml:space="preserve">Flujo de caja operativo del año completo anterior</t>
  </si>
  <si>
    <t xml:space="preserve">Utilidad neta del año completo anterior</t>
  </si>
  <si>
    <t xml:space="preserve">COVENANTS Y VENCIMIENTOS DE LA DEUDA (de las notas)</t>
  </si>
  <si>
    <t xml:space="preserve">Endeudamiento máximo pactado (covenant)</t>
  </si>
  <si>
    <t xml:space="preserve">Ejemplo: reemplazar por lo pactado con el banco</t>
  </si>
  <si>
    <t xml:space="preserve">Cobertura mínima del servicio de la deuda</t>
  </si>
  <si>
    <t xml:space="preserve">Ejemplo: reemplazar por lo pactado</t>
  </si>
  <si>
    <t xml:space="preserve">Deuda neta / EBITDA máximo</t>
  </si>
  <si>
    <t xml:space="preserve">Vencimiento de la deuda: año 1 (hasta 12 meses)</t>
  </si>
  <si>
    <t xml:space="preserve">Tabla de vencimientos de la nota de obligaciones</t>
  </si>
  <si>
    <t xml:space="preserve">Vencimiento de la deuda: año 2</t>
  </si>
  <si>
    <t xml:space="preserve">Vencimiento de la deuda: año 3</t>
  </si>
  <si>
    <t xml:space="preserve">Vencimiento de la deuda: año 4 o más</t>
  </si>
  <si>
    <t xml:space="preserve">SUPUESTOS DE VALOR Y RIESGO</t>
  </si>
  <si>
    <t xml:space="preserve">Capital social y primas</t>
  </si>
  <si>
    <t xml:space="preserve">Del PDF (patrimonio). Se usa para estimar utilidades retenidas</t>
  </si>
  <si>
    <t xml:space="preserve">Costo del patrimonio (Ke)</t>
  </si>
  <si>
    <t xml:space="preserve">Ejemplo: definir con CAPM o la expectativa de los socios</t>
  </si>
  <si>
    <t xml:space="preserve">Tasa nominal del impuesto de renta</t>
  </si>
  <si>
    <t xml:space="preserve">Verifica la tarifa vigente antes de usar</t>
  </si>
  <si>
    <t xml:space="preserve">Estrés: caída de ventas</t>
  </si>
  <si>
    <t xml:space="preserve">Supuesto editable de la prueba de estrés</t>
  </si>
  <si>
    <t xml:space="preserve">Estrés: alza de la tasa de interés (puntos)</t>
  </si>
  <si>
    <t xml:space="preserve">Ej.: 0,03 = 3 puntos porcentuales</t>
  </si>
  <si>
    <t xml:space="preserve">Estrés: aumento de días de cartera</t>
  </si>
  <si>
    <t xml:space="preserve">Días adicionales de recaudo</t>
  </si>
  <si>
    <t xml:space="preserve">Indicadores del diagnóstico</t>
  </si>
  <si>
    <t xml:space="preserve">Se calculan desde la hoja Datos · Referencia (azul) editable según sector</t>
  </si>
  <si>
    <t xml:space="preserve">Indicador</t>
  </si>
  <si>
    <t xml:space="preserve">Cómo se calcula</t>
  </si>
  <si>
    <t xml:space="preserve">Actual</t>
  </si>
  <si>
    <t xml:space="preserve">Anterior</t>
  </si>
  <si>
    <t xml:space="preserve">Variación</t>
  </si>
  <si>
    <t xml:space="preserve">Referencia</t>
  </si>
  <si>
    <t xml:space="preserve">Mejor si</t>
  </si>
  <si>
    <t xml:space="preserve">Cómo interpretarlo</t>
  </si>
  <si>
    <t xml:space="preserve">Estado</t>
  </si>
  <si>
    <t xml:space="preserve">LIQUIDEZ</t>
  </si>
  <si>
    <t xml:space="preserve">Razón corriente</t>
  </si>
  <si>
    <t xml:space="preserve">Activo corriente ÷ Pasivo corriente</t>
  </si>
  <si>
    <t xml:space="preserve">Mayor</t>
  </si>
  <si>
    <t xml:space="preserve">Por cada peso de deuda a corto plazo, cuántos pesos de activo corriente hay. Bajo 1,0 hay riesgo de no poder pagar obligaciones inmediatas.</t>
  </si>
  <si>
    <t xml:space="preserve">Prueba ácida</t>
  </si>
  <si>
    <t xml:space="preserve">(Activo corriente − Inventarios) ÷ Pasivo corriente</t>
  </si>
  <si>
    <t xml:space="preserve">Liquidez sin depender de vender inventario. Si es muy menor que la razón corriente, la liquidez está atrapada en bodega.</t>
  </si>
  <si>
    <t xml:space="preserve">Capital de trabajo neto ($M)</t>
  </si>
  <si>
    <t xml:space="preserve">Activo corriente − Pasivo corriente</t>
  </si>
  <si>
    <t xml:space="preserve">Colchón financiero para operar. Negativo implica que se financian activos corrientes con deuda de corto plazo.</t>
  </si>
  <si>
    <t xml:space="preserve">Razón de efectivo</t>
  </si>
  <si>
    <t xml:space="preserve">Efectivo ÷ Pasivo corriente</t>
  </si>
  <si>
    <t xml:space="preserve">Capacidad de pago inmediata solo con caja.</t>
  </si>
  <si>
    <t xml:space="preserve">Calidad de utilidades</t>
  </si>
  <si>
    <t xml:space="preserve">Flujo operativo ÷ Utilidad neta</t>
  </si>
  <si>
    <t xml:space="preserve">Bajo 1,0 la utilidad contable no se está convirtiendo en caja (cartera e inventario absorben el efectivo).</t>
  </si>
  <si>
    <t xml:space="preserve">Flujo de caja libre ($M)</t>
  </si>
  <si>
    <t xml:space="preserve">Flujo operativo − Capex</t>
  </si>
  <si>
    <t xml:space="preserve">Caja disponible tras invertir. Negativo sostenido exige deuda o aportes para crecer.</t>
  </si>
  <si>
    <t xml:space="preserve">Cobertura del servicio de deuda</t>
  </si>
  <si>
    <t xml:space="preserve">Flujo operativo ÷ Servicio de la deuda</t>
  </si>
  <si>
    <t xml:space="preserve">Bajo 1,0 el negocio no genera caja suficiente para pagar su deuda; el banco lo mira de primero.</t>
  </si>
  <si>
    <t xml:space="preserve">Días de caja</t>
  </si>
  <si>
    <t xml:space="preserve">Efectivo ÷ (Costo + Gastos op.) diarios</t>
  </si>
  <si>
    <t xml:space="preserve">Cuántos días podría operar la empresa sin recaudar nada.</t>
  </si>
  <si>
    <t xml:space="preserve">UTILIDADES</t>
  </si>
  <si>
    <t xml:space="preserve">Margen bruto</t>
  </si>
  <si>
    <t xml:space="preserve">Utilidad bruta ÷ Ingresos</t>
  </si>
  <si>
    <t xml:space="preserve">Rentabilidad de producto o servicio antes de gastos. Una caída suele indicar precios bajos o costos de compra altos.</t>
  </si>
  <si>
    <t xml:space="preserve">Margen EBITDA</t>
  </si>
  <si>
    <t xml:space="preserve">EBITDA ÷ Ingresos</t>
  </si>
  <si>
    <t xml:space="preserve">Eficiencia operativa pura, sin efecto de deuda, impuestos ni depreciación.</t>
  </si>
  <si>
    <t xml:space="preserve">Margen neto</t>
  </si>
  <si>
    <t xml:space="preserve">Utilidad neta ÷ Ingresos</t>
  </si>
  <si>
    <t xml:space="preserve">Lo que queda de cada peso vendido tras todos los costos.</t>
  </si>
  <si>
    <t xml:space="preserve">ROE (anualizado)</t>
  </si>
  <si>
    <t xml:space="preserve">Utilidad neta ÷ Patrimonio × 365 ÷ Días</t>
  </si>
  <si>
    <t xml:space="preserve">Retorno para los dueños. Debe superar el costo de oportunidad de su capital.</t>
  </si>
  <si>
    <t xml:space="preserve">ROA (anualizado)</t>
  </si>
  <si>
    <t xml:space="preserve">Utilidad neta ÷ Activos × 365 ÷ Días</t>
  </si>
  <si>
    <t xml:space="preserve">Qué tan bien se usan los activos para generar utilidad.</t>
  </si>
  <si>
    <t xml:space="preserve">INVENTARIOS Y CICLO DE CAJA</t>
  </si>
  <si>
    <t xml:space="preserve">Rotación de inventarios (anualizada)</t>
  </si>
  <si>
    <t xml:space="preserve">Costo de ventas ÷ Inventarios × 365 ÷ Días</t>
  </si>
  <si>
    <t xml:space="preserve">Veces que se renueva el inventario al año. Baja rotación = capital inmovilizado y riesgo de obsolescencia.</t>
  </si>
  <si>
    <t xml:space="preserve">Días de inventario</t>
  </si>
  <si>
    <t xml:space="preserve">Inventarios ÷ Costo de ventas × Días</t>
  </si>
  <si>
    <t xml:space="preserve">Menor</t>
  </si>
  <si>
    <t xml:space="preserve">Tiempo promedio que la mercancía espera antes de venderse.</t>
  </si>
  <si>
    <t xml:space="preserve">Días de cartera</t>
  </si>
  <si>
    <t xml:space="preserve">Cuentas por cobrar ÷ Ingresos × Días</t>
  </si>
  <si>
    <t xml:space="preserve">Plazo real de recaudo. Compáralo con el plazo que otorga la empresa.</t>
  </si>
  <si>
    <t xml:space="preserve">Días de proveedores</t>
  </si>
  <si>
    <t xml:space="preserve">Proveedores ÷ Costo de ventas × Días</t>
  </si>
  <si>
    <t xml:space="preserve">Plazo real de pago. Más plazo ayuda a la caja, pero sin dañar la relación ni perder descuentos.</t>
  </si>
  <si>
    <t xml:space="preserve">Ciclo de conversión de efectivo</t>
  </si>
  <si>
    <t xml:space="preserve">Días inventario + Días cartera − Días proveedores</t>
  </si>
  <si>
    <t xml:space="preserve">Días que la empresa financia su operación. Reducirlo libera caja sin pedir deuda.</t>
  </si>
  <si>
    <t xml:space="preserve">ENDEUDAMIENTO</t>
  </si>
  <si>
    <t xml:space="preserve">Endeudamiento total</t>
  </si>
  <si>
    <t xml:space="preserve">Pasivos totales ÷ Activos totales</t>
  </si>
  <si>
    <t xml:space="preserve">Proporción de los activos financiada con terceros.</t>
  </si>
  <si>
    <t xml:space="preserve">Cobertura de intereses</t>
  </si>
  <si>
    <t xml:space="preserve">Utilidad operativa ÷ Gastos financieros</t>
  </si>
  <si>
    <t xml:space="preserve">Qué tanto cubre la utilidad operativa el costo financiero.</t>
  </si>
  <si>
    <t xml:space="preserve">Nota: las referencias son orientativas y deben ajustarse al sector del cliente. Variación = cambio relativo frente al periodo anterior.</t>
  </si>
  <si>
    <t xml:space="preserve">Análisis horizontal y vertical</t>
  </si>
  <si>
    <t xml:space="preserve">Cambio entre periodos y peso de cada cuenta · desde la hoja Datos</t>
  </si>
  <si>
    <t xml:space="preserve">Variación $M</t>
  </si>
  <si>
    <t xml:space="preserve">Variación %</t>
  </si>
  <si>
    <t xml:space="preserve">% Actual</t>
  </si>
  <si>
    <t xml:space="preserve">% Anterior</t>
  </si>
  <si>
    <t xml:space="preserve">Alerta</t>
  </si>
  <si>
    <t xml:space="preserve">BALANCE GENERAL · vertical sobre activos totales</t>
  </si>
  <si>
    <t xml:space="preserve">Cuentas por cobrar</t>
  </si>
  <si>
    <t xml:space="preserve">ESTADO DE RESULTADOS · vertical sobre ingresos</t>
  </si>
  <si>
    <t xml:space="preserve">Gastos operativos (sin D&amp;A)</t>
  </si>
  <si>
    <t xml:space="preserve">FLUJO DE CAJA · vertical sobre ingresos</t>
  </si>
  <si>
    <t xml:space="preserve">En cortes intermedios el balance se compara contra el cierre anterior y el estado de resultados contra el mismo periodo del año previo. Variación fuerte = cambio superior a 20%.</t>
  </si>
  <si>
    <t xml:space="preserve">Análisis avanzado</t>
  </si>
  <si>
    <t xml:space="preserve">Capital de trabajo · DuPont · EBITDA normalizado · LTM · Deuda y covenants</t>
  </si>
  <si>
    <t xml:space="preserve">Cómo leerlo</t>
  </si>
  <si>
    <t xml:space="preserve">CAPITAL DE TRABAJO NETO OPERATIVO (KTNO)</t>
  </si>
  <si>
    <t xml:space="preserve">KTNO = Cartera + Inventarios − Proveedores</t>
  </si>
  <si>
    <t xml:space="preserve">Dinero que la operación mantiene inmovilizado para vender a crédito y tener inventario.</t>
  </si>
  <si>
    <t xml:space="preserve">Ventas anualizadas</t>
  </si>
  <si>
    <t xml:space="preserve">Ingresos del periodo llevados a 12 meses con los días del periodo.</t>
  </si>
  <si>
    <t xml:space="preserve">PKT = KTNO ÷ Ventas anualizadas</t>
  </si>
  <si>
    <t xml:space="preserve">Centavos de caja que cada peso de ventas mantiene atrapados en la operación. Menor es mejor.</t>
  </si>
  <si>
    <t xml:space="preserve">KTNO en días de ventas</t>
  </si>
  <si>
    <t xml:space="preserve">Días de ventas que equivale el capital de trabajo operativo.</t>
  </si>
  <si>
    <t xml:space="preserve">Caja consumida por cada $1 de crecimiento de ventas</t>
  </si>
  <si>
    <t xml:space="preserve">Si supera el PKT, crecer está consumiendo más caja que el promedio del negocio.</t>
  </si>
  <si>
    <t xml:space="preserve">DUPONT · de dónde viene el retorno (anualizado)</t>
  </si>
  <si>
    <t xml:space="preserve">Eficiencia: cuánto queda de cada peso vendido.</t>
  </si>
  <si>
    <t xml:space="preserve">Rotación de activos</t>
  </si>
  <si>
    <t xml:space="preserve">Productividad: cuántos pesos de ventas genera cada peso de activos.</t>
  </si>
  <si>
    <t xml:space="preserve">Apalancamiento (Activos ÷ Patrimonio)</t>
  </si>
  <si>
    <t xml:space="preserve">Cuánto del retorno se debe a financiarse con deuda.</t>
  </si>
  <si>
    <t xml:space="preserve">ROE = Margen × Rotación × Apalancamiento</t>
  </si>
  <si>
    <t xml:space="preserve">Si el ROE depende sobre todo del apalancamiento, el retorno es más frágil.</t>
  </si>
  <si>
    <t xml:space="preserve">EBITDA NORMALIZADO</t>
  </si>
  <si>
    <t xml:space="preserve">EBITDA reportado</t>
  </si>
  <si>
    <t xml:space="preserve">(+) Gastos no recurrentes</t>
  </si>
  <si>
    <t xml:space="preserve">Provisiones o gastos únicos: se suman.</t>
  </si>
  <si>
    <t xml:space="preserve">(−) Ingresos no recurrentes</t>
  </si>
  <si>
    <t xml:space="preserve">Ingresos únicos: se restan.</t>
  </si>
  <si>
    <t xml:space="preserve">EBITDA normalizado</t>
  </si>
  <si>
    <t xml:space="preserve">Base más fiel de la capacidad recurrente de generar caja.</t>
  </si>
  <si>
    <t xml:space="preserve">Margen EBITDA normalizado</t>
  </si>
  <si>
    <t xml:space="preserve">ÚLTIMOS 12 MESES (LTM) · Actual = LTM · Anterior = año completo anterior</t>
  </si>
  <si>
    <t xml:space="preserve">Ingresos</t>
  </si>
  <si>
    <t xml:space="preserve">LTM = año anterior + acumulado actual − acumulado del mismo periodo anterior. Evita comparar medio año con año completo.</t>
  </si>
  <si>
    <t xml:space="preserve">Base para los indicadores de deuda cuando el corte es intermedio.</t>
  </si>
  <si>
    <t xml:space="preserve">Margen EBITDA LTM</t>
  </si>
  <si>
    <t xml:space="preserve">DEUDA FINANCIERA</t>
  </si>
  <si>
    <t xml:space="preserve">Deuda de corto plazo</t>
  </si>
  <si>
    <t xml:space="preserve">Deuda de largo plazo</t>
  </si>
  <si>
    <t xml:space="preserve">Deuda financiera total</t>
  </si>
  <si>
    <t xml:space="preserve">Deuda neta (deuda − efectivo)</t>
  </si>
  <si>
    <t xml:space="preserve">Deuda neta ÷ EBITDA (LTM)</t>
  </si>
  <si>
    <t xml:space="preserve">Años de EBITDA que tomaría pagar la deuda neta. Los bancos suelen mirar este indicador de primero.</t>
  </si>
  <si>
    <t xml:space="preserve">Deuda total ÷ EBITDA (LTM)</t>
  </si>
  <si>
    <t xml:space="preserve">Cobertura del servicio de la deuda (flujo operativo ÷ pagos)</t>
  </si>
  <si>
    <t xml:space="preserve">Bajo 1,0x el negocio no genera caja suficiente para atender su deuda.</t>
  </si>
  <si>
    <t xml:space="preserve">Costo promedio de la deuda (anualizado)</t>
  </si>
  <si>
    <t xml:space="preserve">Gastos financieros anualizados ÷ deuda promedio. Compáralo con la tasa vigente del mercado.</t>
  </si>
  <si>
    <t xml:space="preserve">% de la deuda en corto plazo</t>
  </si>
  <si>
    <t xml:space="preserve">Una proporción alta presiona la caja del próximo año.</t>
  </si>
  <si>
    <t xml:space="preserve">Endeudamiento total (Pasivos ÷ Activos)</t>
  </si>
  <si>
    <t xml:space="preserve">PRUEBA DE COVENANTS</t>
  </si>
  <si>
    <t xml:space="preserve">Covenant</t>
  </si>
  <si>
    <t xml:space="preserve">Límite pactado</t>
  </si>
  <si>
    <t xml:space="preserve">Resultado</t>
  </si>
  <si>
    <t xml:space="preserve">Endeudamiento total (máximo)</t>
  </si>
  <si>
    <t xml:space="preserve">Deuda neta ÷ EBITDA (máximo)</t>
  </si>
  <si>
    <t xml:space="preserve">Cobertura del servicio de la deuda (mínimo)</t>
  </si>
  <si>
    <t xml:space="preserve">PERFIL DE VENCIMIENTOS DE LA DEUDA</t>
  </si>
  <si>
    <t xml:space="preserve">Vencimiento</t>
  </si>
  <si>
    <t xml:space="preserve">Monto ($M)</t>
  </si>
  <si>
    <t xml:space="preserve">% del total</t>
  </si>
  <si>
    <t xml:space="preserve">Lectura</t>
  </si>
  <si>
    <t xml:space="preserve">Año 1 (hasta 12 meses)</t>
  </si>
  <si>
    <t xml:space="preserve">Año 2</t>
  </si>
  <si>
    <t xml:space="preserve">Año 3</t>
  </si>
  <si>
    <t xml:space="preserve">Año 4 o más</t>
  </si>
  <si>
    <t xml:space="preserve">Total vencimientos</t>
  </si>
  <si>
    <t xml:space="preserve">Todos los cálculos son aritmética sobre los datos cargados. Las referencias y covenants de ejemplo deben reemplazarse por los reales del cliente.</t>
  </si>
  <si>
    <t xml:space="preserve">Valor y riesgo</t>
  </si>
  <si>
    <t xml:space="preserve">ROIC y EVA · Altman Z'' · Punto de equilibrio · Calidad de utilidades · Pruebas de estrés</t>
  </si>
  <si>
    <t xml:space="preserve">CREACIÓN DE VALOR · ROIC y EVA</t>
  </si>
  <si>
    <t xml:space="preserve">Utilidad operativa anualizada</t>
  </si>
  <si>
    <t xml:space="preserve">EBIT llevado a 12 meses con los días del periodo.</t>
  </si>
  <si>
    <t xml:space="preserve">Tasa efectiva de impuestos</t>
  </si>
  <si>
    <t xml:space="preserve">Impuestos ÷ utilidad antes de impuestos.</t>
  </si>
  <si>
    <t xml:space="preserve">NOPAT (utilidad operativa después de impuestos)</t>
  </si>
  <si>
    <t xml:space="preserve">Capital invertido (patrimonio + deuda financiera − efectivo)</t>
  </si>
  <si>
    <t xml:space="preserve">Capital que financia la operación.</t>
  </si>
  <si>
    <t xml:space="preserve">ROIC</t>
  </si>
  <si>
    <t xml:space="preserve">Retorno de la operación sobre el capital invertido.</t>
  </si>
  <si>
    <t xml:space="preserve">Peso de la deuda en el capital</t>
  </si>
  <si>
    <t xml:space="preserve">Costo de la deuda (Kd)</t>
  </si>
  <si>
    <t xml:space="preserve">Del análisis de deuda: gastos financieros ÷ deuda promedio.</t>
  </si>
  <si>
    <t xml:space="preserve">WACC (costo promedio de capital)</t>
  </si>
  <si>
    <t xml:space="preserve">Requiere el costo del patrimonio (Ke) en la hoja Datos.</t>
  </si>
  <si>
    <t xml:space="preserve">Spread (ROIC − WACC)</t>
  </si>
  <si>
    <t xml:space="preserve">Positivo: la empresa crea valor. Negativo: lo destruye aunque tenga utilidad contable.</t>
  </si>
  <si>
    <t xml:space="preserve">EVA ($M anualizado)</t>
  </si>
  <si>
    <t xml:space="preserve">Valor económico creado después de remunerar a deuda y patrimonio.</t>
  </si>
  <si>
    <t xml:space="preserve">RIESGO DE QUIEBRA · Altman Z'' (mercados emergentes)</t>
  </si>
  <si>
    <t xml:space="preserve">X1 · Capital de trabajo ÷ Activos</t>
  </si>
  <si>
    <t xml:space="preserve">Liquidez.</t>
  </si>
  <si>
    <t xml:space="preserve">X2 · Utilidades retenidas ÷ Activos</t>
  </si>
  <si>
    <t xml:space="preserve">Utilidades retenidas estimadas como patrimonio − capital social.</t>
  </si>
  <si>
    <t xml:space="preserve">X3 · EBIT anualizado ÷ Activos</t>
  </si>
  <si>
    <t xml:space="preserve">Rentabilidad operativa.</t>
  </si>
  <si>
    <t xml:space="preserve">X4 · Patrimonio ÷ Pasivos</t>
  </si>
  <si>
    <t xml:space="preserve">Solvencia.</t>
  </si>
  <si>
    <t xml:space="preserve">Z'' = 3,25 + 6,56·X1 + 3,26·X2 + 6,72·X3 + 1,05·X4</t>
  </si>
  <si>
    <t xml:space="preserve">Mayor a 5,85 zona segura; entre 4,15 y 5,85 zona gris; menor a 4,15 zona de riesgo.</t>
  </si>
  <si>
    <t xml:space="preserve">Zona</t>
  </si>
  <si>
    <t xml:space="preserve">Referencia académica: úsala como señal de alerta, no como sentencia.</t>
  </si>
  <si>
    <t xml:space="preserve">PUNTO DE EQUILIBRIO (supuesto: costo de ventas variable; gastos operativos, D&amp;A y financieros fijos)</t>
  </si>
  <si>
    <t xml:space="preserve">Margen de contribución</t>
  </si>
  <si>
    <t xml:space="preserve">Lo que cada peso vendido aporta para cubrir costos fijos.</t>
  </si>
  <si>
    <t xml:space="preserve">Costos fijos anualizados</t>
  </si>
  <si>
    <t xml:space="preserve">Ventas de equilibrio (anualizadas)</t>
  </si>
  <si>
    <t xml:space="preserve">Ventas mínimas para no perder.</t>
  </si>
  <si>
    <t xml:space="preserve">Margen de seguridad</t>
  </si>
  <si>
    <t xml:space="preserve">Cuánto pueden caer las ventas antes de entrar en pérdida.</t>
  </si>
  <si>
    <t xml:space="preserve">Grado de apalancamiento operativo</t>
  </si>
  <si>
    <t xml:space="preserve">Veces que cambia la utilidad operativa por cada cambio de 1% en ventas.</t>
  </si>
  <si>
    <t xml:space="preserve">CALIDAD DE UTILIDADES</t>
  </si>
  <si>
    <t xml:space="preserve">Accruals (utilidad neta − flujo operativo) ÷ Activos</t>
  </si>
  <si>
    <t xml:space="preserve">Alto y positivo: la utilidad contable no se está convirtiendo en caja.</t>
  </si>
  <si>
    <t xml:space="preserve">Conversión: flujo de caja libre ÷ utilidad neta</t>
  </si>
  <si>
    <t xml:space="preserve">Tasa efectiva menos tasa nominal de renta</t>
  </si>
  <si>
    <t xml:space="preserve">Una diferencia grande merece revisión en las notas de impuestos (diferidos, descuentos, pérdidas fiscales).</t>
  </si>
  <si>
    <t xml:space="preserve">PRUEBAS DE ESTRÉS · Base frente a escenario adverso</t>
  </si>
  <si>
    <t xml:space="preserve">Base</t>
  </si>
  <si>
    <t xml:space="preserve">Estrés</t>
  </si>
  <si>
    <t xml:space="preserve">Supuestos (editables en la hoja Datos, filas 65 a 67)</t>
  </si>
  <si>
    <t xml:space="preserve">Caída de ventas del escenario.</t>
  </si>
  <si>
    <t xml:space="preserve">EBITDA anualizado</t>
  </si>
  <si>
    <t xml:space="preserve">Los gastos operativos se mantienen fijos; el costo de ventas baja con las ventas.</t>
  </si>
  <si>
    <t xml:space="preserve">Gastos financieros anualizados</t>
  </si>
  <si>
    <t xml:space="preserve">Suma el efecto de la alza de tasa sobre toda la deuda.</t>
  </si>
  <si>
    <t xml:space="preserve">Cobertura de intereses (utilidad operativa ÷ gastos financieros)</t>
  </si>
  <si>
    <t xml:space="preserve">Bajo 1,5x el negocio queda muy expuesto.</t>
  </si>
  <si>
    <t xml:space="preserve">Deuda neta ÷ EBITDA</t>
  </si>
  <si>
    <t xml:space="preserve">Caja absorbida por mayor plazo de cartera</t>
  </si>
  <si>
    <t xml:space="preserve">Dinero adicional que quedaría inmovilizado en cartera.</t>
  </si>
  <si>
    <t xml:space="preserve">Prueba del covenant de deuda neta ÷ EBITDA</t>
  </si>
  <si>
    <t xml:space="preserve">Compara contra el límite pactado de la hoja Datos.</t>
  </si>
  <si>
    <t xml:space="preserve">Modelo simplificado: no sustituye un modelo financiero completo. Los supuestos de estrés deben ajustarse al sector del cliente.</t>
  </si>
  <si>
    <t xml:space="preserve">Histórico de 3 años</t>
  </si>
  <si>
    <t xml:space="preserve">Se digita con los estados de años anteriores (millones de COP) · datos de ejemplo</t>
  </si>
  <si>
    <t xml:space="preserve">Año (editable) →</t>
  </si>
  <si>
    <t xml:space="preserve">Tendencia / CAGR</t>
  </si>
  <si>
    <t xml:space="preserve">DATOS ANUALES</t>
  </si>
  <si>
    <t xml:space="preserve">Efectivo</t>
  </si>
  <si>
    <t xml:space="preserve">Activos totales</t>
  </si>
  <si>
    <t xml:space="preserve">Deuda financiera</t>
  </si>
  <si>
    <t xml:space="preserve">INDICADORES CALCULADOS</t>
  </si>
  <si>
    <t xml:space="preserve">Crecimiento anual de ingresos</t>
  </si>
  <si>
    <t xml:space="preserve">Conversión a caja (flujo operativo ÷ utilidad neta)</t>
  </si>
  <si>
    <t xml:space="preserve">ROE</t>
  </si>
  <si>
    <t xml:space="preserve">Para el último año usa el cierre anual (no el corte intermedio). Las cifras de ejemplo son ilustrativas.</t>
  </si>
  <si>
    <t xml:space="preserve">Plan de acción por área</t>
  </si>
  <si>
    <t xml:space="preserve">Palancas de mejora según la señal de alerta detectada en Indicadores</t>
  </si>
  <si>
    <t xml:space="preserve">Área</t>
  </si>
  <si>
    <t xml:space="preserve">Señal de alerta</t>
  </si>
  <si>
    <t xml:space="preserve">Acciones recomendadas</t>
  </si>
  <si>
    <t xml:space="preserve">Impacto esperado</t>
  </si>
  <si>
    <t xml:space="preserve">Liquidez</t>
  </si>
  <si>
    <t xml:space="preserve">Razón corriente baja, capital de trabajo negativo o prueba ácida muy inferior a la razón corriente</t>
  </si>
  <si>
    <t xml:space="preserve">Pasar deuda de corto a largo plazo; abrir una línea de crédito rotativa; liberar caja de cartera e inventario; posponer inversiones no críticas.</t>
  </si>
  <si>
    <t xml:space="preserve">Mayor holgura para pagar obligaciones y menos riesgo de iliquidez.</t>
  </si>
  <si>
    <t xml:space="preserve">Flujo de caja</t>
  </si>
  <si>
    <t xml:space="preserve">Flujo operativo menor que la utilidad neta, o cobertura de deuda cercana a 1</t>
  </si>
  <si>
    <t xml:space="preserve">Política de cobro (descuento por pronto pago, facturación anticipada, cobro por edades); negociar plazos con proveedores; proyección de caja semanal a 13 semanas.</t>
  </si>
  <si>
    <t xml:space="preserve">Utilidad que sí se convierte en efectivo; menos dependencia del crédito.</t>
  </si>
  <si>
    <t xml:space="preserve">Días de cartera por encima del plazo otorgado o concentración en pocos clientes</t>
  </si>
  <si>
    <t xml:space="preserve">Segmentar clientes por riesgo; cupos de crédito; gestión de cobro proactiva; factoring selectivo; diversificar la base de clientes.</t>
  </si>
  <si>
    <t xml:space="preserve">Menor ciclo de caja y menor pérdida por incobrables.</t>
  </si>
  <si>
    <t xml:space="preserve">Días de inventario altos, rotación baja, referencias obsoletas</t>
  </si>
  <si>
    <t xml:space="preserve">Clasificación ABC; liquidar obsoletos; puntos de reorden y stock de seguridad; compras ligadas a demanda proyectada; consignación con proveedores clave.</t>
  </si>
  <si>
    <t xml:space="preserve">Capital liberado y menores costos de bodegaje y obsolescencia.</t>
  </si>
  <si>
    <t xml:space="preserve">Utilidades</t>
  </si>
  <si>
    <t xml:space="preserve">Margen bruto o EBITDA en caída frente al periodo anterior</t>
  </si>
  <si>
    <t xml:space="preserve">Revisar precios y mezcla de productos; renegociar costos de compra; análisis de rentabilidad por cliente y producto; recortar gastos no esenciales.</t>
  </si>
  <si>
    <t xml:space="preserve">Mejor margen sin depender solo de vender más.</t>
  </si>
  <si>
    <t xml:space="preserve">Endeudamiento</t>
  </si>
  <si>
    <t xml:space="preserve">Endeudamiento sobre la referencia o cobertura de intereses baja</t>
  </si>
  <si>
    <t xml:space="preserve">Reperfilar la deuda (plazo y tasa); capitalizar utilidades; prepagar la deuda más cara; evitar deuda de corto plazo para activos de largo plazo.</t>
  </si>
  <si>
    <t xml:space="preserve">Menor costo financiero y mayor capacidad de crédito futura.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</si>
</sst>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"/>
    <numFmt numFmtId="167" formatCode="0.00\x"/>
    <numFmt numFmtId="168" formatCode="0"/>
    <numFmt numFmtId="169" formatCode="\+0.0%;\-0.0%;\-"/>
    <numFmt numFmtId="170" formatCode="0.0&quot; días&quot;"/>
    <numFmt numFmtId="171" formatCode="0.00"/>
    <numFmt numFmtId="172" formatCode="0.0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B122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4748B"/>
      <name val="Arial"/>
      <family val="0"/>
      <charset val="1"/>
    </font>
    <font>
      <sz val="9"/>
      <color rgb="FFC2410C"/>
      <name val="Arial"/>
      <family val="0"/>
      <charset val="1"/>
    </font>
    <font>
      <sz val="9"/>
      <color rgb="FF475569"/>
      <name val="Arial"/>
      <family val="0"/>
      <charset val="1"/>
    </font>
    <font>
      <sz val="9"/>
      <name val="Arial"/>
      <family val="0"/>
      <charset val="1"/>
    </font>
    <font>
      <sz val="9"/>
      <color rgb="FF334155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C2410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2410C"/>
      <name val="Arial"/>
      <family val="0"/>
      <charset val="1"/>
    </font>
    <font>
      <b val="true"/>
      <sz val="11"/>
      <color rgb="FFFFFF99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220"/>
        <bgColor rgb="FF000000"/>
      </patternFill>
    </fill>
    <fill>
      <patternFill patternType="solid">
        <fgColor rgb="FF0E7490"/>
        <bgColor rgb="FF008080"/>
      </patternFill>
    </fill>
    <fill>
      <patternFill patternType="solid">
        <fgColor rgb="FFE2E8F0"/>
        <bgColor rgb="FFCBD5E1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66534"/>
      </font>
      <fill>
        <patternFill>
          <bgColor rgb="FFBBF7D0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CACA"/>
        </patternFill>
      </fill>
    </dxf>
    <dxf>
      <font>
        <name val="Arial"/>
        <charset val="1"/>
        <family val="0"/>
        <b val="1"/>
        <color rgb="FF166534"/>
      </font>
    </dxf>
    <dxf>
      <font>
        <name val="Arial"/>
        <charset val="1"/>
        <family val="0"/>
        <b val="1"/>
        <color rgb="FF991B1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E7490"/>
      <rgbColor rgb="FFC0C0C0"/>
      <rgbColor rgb="FF808080"/>
      <rgbColor rgb="FF9999FF"/>
      <rgbColor rgb="FFC2410C"/>
      <rgbColor rgb="FFFFF9C4"/>
      <rgbColor rgb="FFE2E8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B1220"/>
      <rgbColor rgb="FF333300"/>
      <rgbColor rgb="FF991B1B"/>
      <rgbColor rgb="FF993366"/>
      <rgbColor rgb="FF47556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/>
    </row>
    <row r="5" customFormat="false" ht="31.5" hidden="false" customHeight="true" outlineLevel="0" collapsed="false">
      <c r="A5" s="5" t="s">
        <v>3</v>
      </c>
      <c r="B5" s="6" t="s">
        <v>4</v>
      </c>
    </row>
    <row r="6" customFormat="false" ht="31.5" hidden="false" customHeight="true" outlineLevel="0" collapsed="false">
      <c r="A6" s="5" t="s">
        <v>5</v>
      </c>
      <c r="B6" s="6" t="s">
        <v>6</v>
      </c>
    </row>
    <row r="7" customFormat="false" ht="31.5" hidden="false" customHeight="true" outlineLevel="0" collapsed="false">
      <c r="A7" s="5" t="s">
        <v>7</v>
      </c>
      <c r="B7" s="6" t="s">
        <v>8</v>
      </c>
    </row>
    <row r="8" customFormat="false" ht="45.75" hidden="false" customHeight="true" outlineLevel="0" collapsed="false">
      <c r="A8" s="5" t="s">
        <v>9</v>
      </c>
      <c r="B8" s="6" t="s">
        <v>10</v>
      </c>
    </row>
    <row r="9" customFormat="false" ht="45.75" hidden="false" customHeight="true" outlineLevel="0" collapsed="false">
      <c r="A9" s="5" t="s">
        <v>11</v>
      </c>
      <c r="B9" s="6" t="s">
        <v>12</v>
      </c>
    </row>
    <row r="10" customFormat="false" ht="31.5" hidden="false" customHeight="true" outlineLevel="0" collapsed="false">
      <c r="A10" s="5" t="s">
        <v>13</v>
      </c>
      <c r="B10" s="6" t="s">
        <v>14</v>
      </c>
    </row>
    <row r="11" customFormat="false" ht="31.5" hidden="false" customHeight="true" outlineLevel="0" collapsed="false">
      <c r="A11" s="5" t="s">
        <v>15</v>
      </c>
      <c r="B11" s="6" t="s">
        <v>16</v>
      </c>
    </row>
    <row r="12" customFormat="false" ht="31.5" hidden="false" customHeight="true" outlineLevel="0" collapsed="false">
      <c r="A12" s="5" t="s">
        <v>17</v>
      </c>
      <c r="B12" s="6" t="s">
        <v>18</v>
      </c>
    </row>
    <row r="13" customFormat="false" ht="19.5" hidden="false" customHeight="true" outlineLevel="0" collapsed="false">
      <c r="A13" s="5" t="s">
        <v>19</v>
      </c>
      <c r="B13" s="6" t="s">
        <v>20</v>
      </c>
    </row>
    <row r="15" customFormat="false" ht="15" hidden="false" customHeight="false" outlineLevel="0" collapsed="false">
      <c r="A15" s="3" t="s">
        <v>21</v>
      </c>
      <c r="B15" s="4"/>
    </row>
    <row r="16" customFormat="false" ht="31.5" hidden="false" customHeight="true" outlineLevel="0" collapsed="false">
      <c r="A16" s="5" t="s">
        <v>22</v>
      </c>
      <c r="B16" s="6" t="s">
        <v>23</v>
      </c>
    </row>
    <row r="17" customFormat="false" ht="19.5" hidden="false" customHeight="true" outlineLevel="0" collapsed="false">
      <c r="A17" s="5" t="s">
        <v>24</v>
      </c>
      <c r="B17" s="6" t="s">
        <v>25</v>
      </c>
    </row>
    <row r="18" customFormat="false" ht="31.5" hidden="false" customHeight="true" outlineLevel="0" collapsed="false">
      <c r="A18" s="5" t="s">
        <v>26</v>
      </c>
      <c r="B18" s="6" t="s">
        <v>27</v>
      </c>
    </row>
    <row r="19" customFormat="false" ht="31.5" hidden="false" customHeight="true" outlineLevel="0" collapsed="false">
      <c r="A19" s="5" t="s">
        <v>28</v>
      </c>
      <c r="B19" s="6" t="s">
        <v>29</v>
      </c>
    </row>
    <row r="20" customFormat="false" ht="19.5" hidden="false" customHeight="true" outlineLevel="0" collapsed="false">
      <c r="A20" s="5" t="s">
        <v>30</v>
      </c>
      <c r="B20" s="6" t="s">
        <v>31</v>
      </c>
    </row>
    <row r="22" customFormat="false" ht="15" hidden="false" customHeight="false" outlineLevel="0" collapsed="false">
      <c r="A22" s="3" t="s">
        <v>32</v>
      </c>
      <c r="B22" s="4"/>
    </row>
    <row r="23" customFormat="false" ht="45.75" hidden="false" customHeight="true" outlineLevel="0" collapsed="false">
      <c r="A23" s="5" t="s">
        <v>33</v>
      </c>
      <c r="B23" s="6" t="s">
        <v>34</v>
      </c>
    </row>
    <row r="24" customFormat="false" ht="31.5" hidden="false" customHeight="true" outlineLevel="0" collapsed="false">
      <c r="A24" s="5" t="s">
        <v>35</v>
      </c>
      <c r="B24" s="6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60"/>
  </cols>
  <sheetData>
    <row r="1" customFormat="false" ht="33.75" hidden="false" customHeight="true" outlineLevel="0" collapsed="false">
      <c r="A1" s="1" t="s">
        <v>37</v>
      </c>
      <c r="B1" s="1"/>
      <c r="C1" s="1"/>
      <c r="D1" s="1"/>
    </row>
    <row r="2" customFormat="false" ht="15" hidden="false" customHeight="false" outlineLevel="0" collapsed="false">
      <c r="A2" s="2" t="s">
        <v>38</v>
      </c>
      <c r="B2" s="2"/>
      <c r="C2" s="2"/>
      <c r="D2" s="2"/>
    </row>
    <row r="4" customFormat="false" ht="30" hidden="false" customHeight="true" outlineLevel="0" collapsed="false">
      <c r="A4" s="7" t="s">
        <v>39</v>
      </c>
      <c r="B4" s="7" t="s">
        <v>40</v>
      </c>
      <c r="C4" s="7" t="s">
        <v>41</v>
      </c>
      <c r="D4" s="7" t="s">
        <v>42</v>
      </c>
    </row>
    <row r="6" customFormat="false" ht="15" hidden="false" customHeight="false" outlineLevel="0" collapsed="false">
      <c r="A6" s="8" t="s">
        <v>43</v>
      </c>
      <c r="B6" s="9"/>
      <c r="C6" s="9"/>
      <c r="D6" s="9"/>
    </row>
    <row r="7" customFormat="false" ht="15" hidden="false" customHeight="false" outlineLevel="0" collapsed="false">
      <c r="A7" s="10" t="s">
        <v>44</v>
      </c>
      <c r="B7" s="11" t="n">
        <v>420</v>
      </c>
      <c r="C7" s="11" t="n">
        <v>380</v>
      </c>
      <c r="D7" s="12"/>
    </row>
    <row r="8" customFormat="false" ht="15" hidden="false" customHeight="false" outlineLevel="0" collapsed="false">
      <c r="A8" s="10" t="s">
        <v>45</v>
      </c>
      <c r="B8" s="11" t="n">
        <v>980</v>
      </c>
      <c r="C8" s="11" t="n">
        <v>860</v>
      </c>
      <c r="D8" s="12"/>
    </row>
    <row r="9" customFormat="false" ht="15" hidden="false" customHeight="false" outlineLevel="0" collapsed="false">
      <c r="A9" s="10" t="s">
        <v>26</v>
      </c>
      <c r="B9" s="11" t="n">
        <v>1350</v>
      </c>
      <c r="C9" s="11" t="n">
        <v>1150</v>
      </c>
      <c r="D9" s="12"/>
    </row>
    <row r="10" customFormat="false" ht="15" hidden="false" customHeight="false" outlineLevel="0" collapsed="false">
      <c r="A10" s="10" t="s">
        <v>46</v>
      </c>
      <c r="B10" s="11" t="n">
        <v>150</v>
      </c>
      <c r="C10" s="11" t="n">
        <v>130</v>
      </c>
      <c r="D10" s="12"/>
    </row>
    <row r="11" customFormat="false" ht="15" hidden="false" customHeight="false" outlineLevel="0" collapsed="false">
      <c r="A11" s="13" t="s">
        <v>47</v>
      </c>
      <c r="B11" s="14" t="n">
        <f aca="false">B7+B8+B9+B10</f>
        <v>2900</v>
      </c>
      <c r="C11" s="14" t="n">
        <f aca="false">C7+C8+C9+C10</f>
        <v>2520</v>
      </c>
    </row>
    <row r="12" customFormat="false" ht="15" hidden="false" customHeight="false" outlineLevel="0" collapsed="false">
      <c r="A12" s="10" t="s">
        <v>48</v>
      </c>
      <c r="B12" s="11" t="n">
        <v>2600</v>
      </c>
      <c r="C12" s="11" t="n">
        <v>2500</v>
      </c>
      <c r="D12" s="12" t="s">
        <v>49</v>
      </c>
    </row>
    <row r="13" customFormat="false" ht="15" hidden="false" customHeight="false" outlineLevel="0" collapsed="false">
      <c r="A13" s="13" t="s">
        <v>50</v>
      </c>
      <c r="B13" s="14" t="n">
        <f aca="false">B11+B12</f>
        <v>5500</v>
      </c>
      <c r="C13" s="14" t="n">
        <f aca="false">C11+C12</f>
        <v>5020</v>
      </c>
    </row>
    <row r="14" customFormat="false" ht="15" hidden="false" customHeight="false" outlineLevel="0" collapsed="false">
      <c r="A14" s="10" t="s">
        <v>51</v>
      </c>
      <c r="B14" s="11" t="n">
        <v>700</v>
      </c>
      <c r="C14" s="11" t="n">
        <v>650</v>
      </c>
      <c r="D14" s="12" t="s">
        <v>52</v>
      </c>
    </row>
    <row r="15" customFormat="false" ht="15" hidden="false" customHeight="false" outlineLevel="0" collapsed="false">
      <c r="A15" s="10" t="s">
        <v>53</v>
      </c>
      <c r="B15" s="11" t="n">
        <v>900</v>
      </c>
      <c r="C15" s="11" t="n">
        <v>780</v>
      </c>
      <c r="D15" s="12"/>
    </row>
    <row r="16" customFormat="false" ht="15" hidden="false" customHeight="false" outlineLevel="0" collapsed="false">
      <c r="A16" s="10" t="s">
        <v>54</v>
      </c>
      <c r="B16" s="11" t="n">
        <v>300</v>
      </c>
      <c r="C16" s="11" t="n">
        <v>270</v>
      </c>
      <c r="D16" s="12" t="s">
        <v>55</v>
      </c>
    </row>
    <row r="17" customFormat="false" ht="15" hidden="false" customHeight="false" outlineLevel="0" collapsed="false">
      <c r="A17" s="13" t="s">
        <v>56</v>
      </c>
      <c r="B17" s="14" t="n">
        <f aca="false">B14+B15+B16</f>
        <v>1900</v>
      </c>
      <c r="C17" s="14" t="n">
        <f aca="false">C14+C15+C16</f>
        <v>1700</v>
      </c>
    </row>
    <row r="18" customFormat="false" ht="15" hidden="false" customHeight="false" outlineLevel="0" collapsed="false">
      <c r="A18" s="10" t="s">
        <v>57</v>
      </c>
      <c r="B18" s="11" t="n">
        <v>1200</v>
      </c>
      <c r="C18" s="11" t="n">
        <v>1250</v>
      </c>
      <c r="D18" s="12"/>
    </row>
    <row r="19" customFormat="false" ht="15" hidden="false" customHeight="false" outlineLevel="0" collapsed="false">
      <c r="A19" s="13" t="s">
        <v>58</v>
      </c>
      <c r="B19" s="14" t="n">
        <f aca="false">B17+B18</f>
        <v>3100</v>
      </c>
      <c r="C19" s="14" t="n">
        <f aca="false">C17+C18</f>
        <v>2950</v>
      </c>
    </row>
    <row r="20" customFormat="false" ht="15" hidden="false" customHeight="false" outlineLevel="0" collapsed="false">
      <c r="A20" s="10" t="s">
        <v>59</v>
      </c>
      <c r="B20" s="11" t="n">
        <v>2400</v>
      </c>
      <c r="C20" s="11" t="n">
        <v>2070</v>
      </c>
      <c r="D20" s="12"/>
    </row>
    <row r="21" customFormat="false" ht="15" hidden="false" customHeight="false" outlineLevel="0" collapsed="false">
      <c r="A21" s="13" t="s">
        <v>60</v>
      </c>
      <c r="B21" s="14" t="n">
        <f aca="false">B13-B19-B20</f>
        <v>0</v>
      </c>
      <c r="C21" s="14" t="n">
        <f aca="false">C13-C19-C20</f>
        <v>0</v>
      </c>
      <c r="D21" s="15" t="s">
        <v>61</v>
      </c>
    </row>
    <row r="23" customFormat="false" ht="15" hidden="false" customHeight="false" outlineLevel="0" collapsed="false">
      <c r="A23" s="8" t="s">
        <v>62</v>
      </c>
      <c r="B23" s="9"/>
      <c r="C23" s="9"/>
      <c r="D23" s="9"/>
    </row>
    <row r="24" customFormat="false" ht="15" hidden="false" customHeight="false" outlineLevel="0" collapsed="false">
      <c r="A24" s="10" t="s">
        <v>63</v>
      </c>
      <c r="B24" s="11" t="n">
        <v>9800</v>
      </c>
      <c r="C24" s="11" t="n">
        <v>8900</v>
      </c>
      <c r="D24" s="12"/>
    </row>
    <row r="25" customFormat="false" ht="15" hidden="false" customHeight="false" outlineLevel="0" collapsed="false">
      <c r="A25" s="10" t="s">
        <v>64</v>
      </c>
      <c r="B25" s="11" t="n">
        <v>6350</v>
      </c>
      <c r="C25" s="11" t="n">
        <v>5870</v>
      </c>
      <c r="D25" s="12"/>
    </row>
    <row r="26" customFormat="false" ht="15" hidden="false" customHeight="false" outlineLevel="0" collapsed="false">
      <c r="A26" s="10" t="s">
        <v>65</v>
      </c>
      <c r="B26" s="11" t="n">
        <v>1800</v>
      </c>
      <c r="C26" s="11" t="n">
        <v>1700</v>
      </c>
      <c r="D26" s="12" t="s">
        <v>66</v>
      </c>
    </row>
    <row r="27" customFormat="false" ht="15" hidden="false" customHeight="false" outlineLevel="0" collapsed="false">
      <c r="A27" s="10" t="s">
        <v>67</v>
      </c>
      <c r="B27" s="11" t="n">
        <v>220</v>
      </c>
      <c r="C27" s="11" t="n">
        <v>210</v>
      </c>
      <c r="D27" s="12"/>
    </row>
    <row r="28" customFormat="false" ht="15" hidden="false" customHeight="false" outlineLevel="0" collapsed="false">
      <c r="A28" s="10" t="s">
        <v>68</v>
      </c>
      <c r="B28" s="11" t="n">
        <v>190</v>
      </c>
      <c r="C28" s="11" t="n">
        <v>180</v>
      </c>
      <c r="D28" s="12" t="s">
        <v>69</v>
      </c>
    </row>
    <row r="29" customFormat="false" ht="15" hidden="false" customHeight="false" outlineLevel="0" collapsed="false">
      <c r="A29" s="10" t="s">
        <v>70</v>
      </c>
      <c r="B29" s="11" t="n">
        <v>330</v>
      </c>
      <c r="C29" s="11" t="n">
        <v>280</v>
      </c>
      <c r="D29" s="12"/>
    </row>
    <row r="30" customFormat="false" ht="15" hidden="false" customHeight="false" outlineLevel="0" collapsed="false">
      <c r="A30" s="13" t="s">
        <v>71</v>
      </c>
      <c r="B30" s="14" t="n">
        <f aca="false">B24-B25</f>
        <v>3450</v>
      </c>
      <c r="C30" s="14" t="n">
        <f aca="false">C24-C25</f>
        <v>3030</v>
      </c>
    </row>
    <row r="31" customFormat="false" ht="15" hidden="false" customHeight="false" outlineLevel="0" collapsed="false">
      <c r="A31" s="13" t="s">
        <v>72</v>
      </c>
      <c r="B31" s="14" t="n">
        <f aca="false">B30-B26</f>
        <v>1650</v>
      </c>
      <c r="C31" s="14" t="n">
        <f aca="false">C30-C26</f>
        <v>1330</v>
      </c>
    </row>
    <row r="32" customFormat="false" ht="15" hidden="false" customHeight="false" outlineLevel="0" collapsed="false">
      <c r="A32" s="13" t="s">
        <v>73</v>
      </c>
      <c r="B32" s="14" t="n">
        <f aca="false">B31-B27</f>
        <v>1430</v>
      </c>
      <c r="C32" s="14" t="n">
        <f aca="false">C31-C27</f>
        <v>1120</v>
      </c>
    </row>
    <row r="33" customFormat="false" ht="15" hidden="false" customHeight="false" outlineLevel="0" collapsed="false">
      <c r="A33" s="13" t="s">
        <v>74</v>
      </c>
      <c r="B33" s="14" t="n">
        <f aca="false">B32-B28-B29</f>
        <v>910</v>
      </c>
      <c r="C33" s="14" t="n">
        <f aca="false">C32-C28-C29</f>
        <v>660</v>
      </c>
    </row>
    <row r="35" customFormat="false" ht="15" hidden="false" customHeight="false" outlineLevel="0" collapsed="false">
      <c r="A35" s="8" t="s">
        <v>75</v>
      </c>
      <c r="B35" s="9"/>
      <c r="C35" s="9"/>
      <c r="D35" s="9"/>
    </row>
    <row r="36" customFormat="false" ht="15" hidden="false" customHeight="false" outlineLevel="0" collapsed="false">
      <c r="A36" s="10" t="s">
        <v>76</v>
      </c>
      <c r="B36" s="11" t="n">
        <v>610</v>
      </c>
      <c r="C36" s="11" t="n">
        <v>540</v>
      </c>
      <c r="D36" s="12" t="s">
        <v>77</v>
      </c>
    </row>
    <row r="37" customFormat="false" ht="15" hidden="false" customHeight="false" outlineLevel="0" collapsed="false">
      <c r="A37" s="10" t="s">
        <v>78</v>
      </c>
      <c r="B37" s="11" t="n">
        <v>300</v>
      </c>
      <c r="C37" s="11" t="n">
        <v>260</v>
      </c>
      <c r="D37" s="12"/>
    </row>
    <row r="38" customFormat="false" ht="15" hidden="false" customHeight="false" outlineLevel="0" collapsed="false">
      <c r="A38" s="13" t="s">
        <v>79</v>
      </c>
      <c r="B38" s="14" t="n">
        <f aca="false">B36-B37</f>
        <v>310</v>
      </c>
      <c r="C38" s="14" t="n">
        <f aca="false">C36-C37</f>
        <v>280</v>
      </c>
    </row>
    <row r="39" customFormat="false" ht="15" hidden="false" customHeight="false" outlineLevel="0" collapsed="false">
      <c r="A39" s="10" t="s">
        <v>80</v>
      </c>
      <c r="B39" s="11" t="n">
        <v>420</v>
      </c>
      <c r="C39" s="11" t="n">
        <v>400</v>
      </c>
      <c r="D39" s="12" t="s">
        <v>81</v>
      </c>
    </row>
    <row r="40" customFormat="false" ht="15" hidden="false" customHeight="false" outlineLevel="0" collapsed="false">
      <c r="A40" s="10" t="s">
        <v>82</v>
      </c>
      <c r="B40" s="11" t="n">
        <v>365</v>
      </c>
      <c r="C40" s="11" t="n">
        <v>365</v>
      </c>
      <c r="D40" s="12" t="s">
        <v>83</v>
      </c>
    </row>
    <row r="42" customFormat="false" ht="15" hidden="false" customHeight="false" outlineLevel="0" collapsed="false">
      <c r="A42" s="8" t="s">
        <v>84</v>
      </c>
      <c r="B42" s="9"/>
      <c r="C42" s="9"/>
      <c r="D42" s="9"/>
    </row>
    <row r="43" customFormat="false" ht="15" hidden="false" customHeight="false" outlineLevel="0" collapsed="false">
      <c r="A43" s="10" t="s">
        <v>85</v>
      </c>
      <c r="B43" s="11" t="n">
        <v>1200</v>
      </c>
      <c r="C43" s="11" t="n">
        <v>1250</v>
      </c>
      <c r="D43" s="12" t="s">
        <v>86</v>
      </c>
    </row>
    <row r="44" customFormat="false" ht="15" hidden="false" customHeight="false" outlineLevel="0" collapsed="false">
      <c r="A44" s="10" t="s">
        <v>87</v>
      </c>
      <c r="B44" s="11" t="n">
        <v>0</v>
      </c>
      <c r="C44" s="11" t="n">
        <v>0</v>
      </c>
      <c r="D44" s="12" t="s">
        <v>88</v>
      </c>
    </row>
    <row r="45" customFormat="false" ht="15" hidden="false" customHeight="false" outlineLevel="0" collapsed="false">
      <c r="A45" s="10" t="s">
        <v>89</v>
      </c>
      <c r="B45" s="11" t="n">
        <v>0</v>
      </c>
      <c r="C45" s="11" t="n">
        <v>0</v>
      </c>
      <c r="D45" s="12" t="s">
        <v>90</v>
      </c>
    </row>
    <row r="46" customFormat="false" ht="15" hidden="false" customHeight="false" outlineLevel="0" collapsed="false">
      <c r="A46" s="8" t="s">
        <v>91</v>
      </c>
      <c r="B46" s="9"/>
      <c r="C46" s="9"/>
      <c r="D46" s="9"/>
    </row>
    <row r="47" customFormat="false" ht="15" hidden="false" customHeight="false" outlineLevel="0" collapsed="false">
      <c r="A47" s="10" t="s">
        <v>92</v>
      </c>
      <c r="B47" s="11" t="n">
        <v>9300</v>
      </c>
      <c r="D47" s="12" t="s">
        <v>93</v>
      </c>
    </row>
    <row r="48" customFormat="false" ht="15" hidden="false" customHeight="false" outlineLevel="0" collapsed="false">
      <c r="A48" s="10" t="s">
        <v>94</v>
      </c>
      <c r="B48" s="11" t="n">
        <v>6080</v>
      </c>
      <c r="D48" s="12"/>
    </row>
    <row r="49" customFormat="false" ht="15" hidden="false" customHeight="false" outlineLevel="0" collapsed="false">
      <c r="A49" s="10" t="s">
        <v>95</v>
      </c>
      <c r="B49" s="11" t="n">
        <v>1560</v>
      </c>
      <c r="D49" s="12"/>
    </row>
    <row r="50" customFormat="false" ht="15" hidden="false" customHeight="false" outlineLevel="0" collapsed="false">
      <c r="A50" s="10" t="s">
        <v>96</v>
      </c>
      <c r="B50" s="11" t="n">
        <v>215</v>
      </c>
      <c r="D50" s="12"/>
    </row>
    <row r="51" customFormat="false" ht="15" hidden="false" customHeight="false" outlineLevel="0" collapsed="false">
      <c r="A51" s="10" t="s">
        <v>97</v>
      </c>
      <c r="B51" s="11" t="n">
        <v>640</v>
      </c>
      <c r="D51" s="12"/>
    </row>
    <row r="52" customFormat="false" ht="15" hidden="false" customHeight="false" outlineLevel="0" collapsed="false">
      <c r="A52" s="10" t="s">
        <v>98</v>
      </c>
      <c r="B52" s="11" t="n">
        <v>660</v>
      </c>
      <c r="D52" s="12"/>
    </row>
    <row r="53" customFormat="false" ht="15" hidden="false" customHeight="false" outlineLevel="0" collapsed="false">
      <c r="A53" s="8" t="s">
        <v>99</v>
      </c>
      <c r="B53" s="9"/>
      <c r="C53" s="9"/>
      <c r="D53" s="9"/>
    </row>
    <row r="54" customFormat="false" ht="15" hidden="false" customHeight="false" outlineLevel="0" collapsed="false">
      <c r="A54" s="10" t="s">
        <v>100</v>
      </c>
      <c r="B54" s="16" t="n">
        <v>0.65</v>
      </c>
      <c r="D54" s="12" t="s">
        <v>101</v>
      </c>
    </row>
    <row r="55" customFormat="false" ht="15" hidden="false" customHeight="false" outlineLevel="0" collapsed="false">
      <c r="A55" s="10" t="s">
        <v>102</v>
      </c>
      <c r="B55" s="17" t="n">
        <v>1.2</v>
      </c>
      <c r="D55" s="12" t="s">
        <v>103</v>
      </c>
    </row>
    <row r="56" customFormat="false" ht="15" hidden="false" customHeight="false" outlineLevel="0" collapsed="false">
      <c r="A56" s="10" t="s">
        <v>104</v>
      </c>
      <c r="B56" s="17" t="n">
        <v>3</v>
      </c>
      <c r="D56" s="12" t="s">
        <v>103</v>
      </c>
    </row>
    <row r="57" customFormat="false" ht="15" hidden="false" customHeight="false" outlineLevel="0" collapsed="false">
      <c r="A57" s="10" t="s">
        <v>105</v>
      </c>
      <c r="B57" s="11" t="n">
        <v>700</v>
      </c>
      <c r="D57" s="12" t="s">
        <v>106</v>
      </c>
    </row>
    <row r="58" customFormat="false" ht="15" hidden="false" customHeight="false" outlineLevel="0" collapsed="false">
      <c r="A58" s="10" t="s">
        <v>107</v>
      </c>
      <c r="B58" s="11" t="n">
        <v>400</v>
      </c>
      <c r="D58" s="12"/>
    </row>
    <row r="59" customFormat="false" ht="15" hidden="false" customHeight="false" outlineLevel="0" collapsed="false">
      <c r="A59" s="10" t="s">
        <v>108</v>
      </c>
      <c r="B59" s="11" t="n">
        <v>400</v>
      </c>
      <c r="D59" s="12"/>
    </row>
    <row r="60" customFormat="false" ht="15" hidden="false" customHeight="false" outlineLevel="0" collapsed="false">
      <c r="A60" s="10" t="s">
        <v>109</v>
      </c>
      <c r="B60" s="11" t="n">
        <v>400</v>
      </c>
      <c r="D60" s="12"/>
    </row>
    <row r="61" customFormat="false" ht="15" hidden="false" customHeight="false" outlineLevel="0" collapsed="false">
      <c r="A61" s="8" t="s">
        <v>110</v>
      </c>
      <c r="B61" s="9"/>
      <c r="C61" s="9"/>
      <c r="D61" s="9"/>
    </row>
    <row r="62" customFormat="false" ht="15" hidden="false" customHeight="false" outlineLevel="0" collapsed="false">
      <c r="A62" s="10" t="s">
        <v>111</v>
      </c>
      <c r="B62" s="11" t="n">
        <v>800</v>
      </c>
      <c r="C62" s="11" t="n">
        <v>800</v>
      </c>
      <c r="D62" s="12" t="s">
        <v>112</v>
      </c>
    </row>
    <row r="63" customFormat="false" ht="15" hidden="false" customHeight="false" outlineLevel="0" collapsed="false">
      <c r="A63" s="10" t="s">
        <v>113</v>
      </c>
      <c r="B63" s="16" t="n">
        <v>0.18</v>
      </c>
      <c r="D63" s="12" t="s">
        <v>114</v>
      </c>
    </row>
    <row r="64" customFormat="false" ht="15" hidden="false" customHeight="false" outlineLevel="0" collapsed="false">
      <c r="A64" s="10" t="s">
        <v>115</v>
      </c>
      <c r="B64" s="16" t="n">
        <v>0.35</v>
      </c>
      <c r="D64" s="12" t="s">
        <v>116</v>
      </c>
    </row>
    <row r="65" customFormat="false" ht="15" hidden="false" customHeight="false" outlineLevel="0" collapsed="false">
      <c r="A65" s="10" t="s">
        <v>117</v>
      </c>
      <c r="B65" s="16" t="n">
        <v>0.15</v>
      </c>
      <c r="D65" s="12" t="s">
        <v>118</v>
      </c>
    </row>
    <row r="66" customFormat="false" ht="15" hidden="false" customHeight="false" outlineLevel="0" collapsed="false">
      <c r="A66" s="10" t="s">
        <v>119</v>
      </c>
      <c r="B66" s="16" t="n">
        <v>0.03</v>
      </c>
      <c r="D66" s="12" t="s">
        <v>120</v>
      </c>
    </row>
    <row r="67" customFormat="false" ht="15" hidden="false" customHeight="false" outlineLevel="0" collapsed="false">
      <c r="A67" s="10" t="s">
        <v>121</v>
      </c>
      <c r="B67" s="18" t="n">
        <v>15</v>
      </c>
      <c r="D67" s="12" t="s">
        <v>122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6" min="3" style="0" width="13"/>
    <col collapsed="false" customWidth="true" hidden="false" outlineLevel="0" max="7" min="7" style="0" width="11"/>
    <col collapsed="false" customWidth="true" hidden="false" outlineLevel="0" max="8" min="8" style="0" width="70"/>
    <col collapsed="false" customWidth="true" hidden="false" outlineLevel="0" max="9" min="9" style="0" width="12"/>
  </cols>
  <sheetData>
    <row r="1" customFormat="false" ht="33.7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124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7" t="s">
        <v>125</v>
      </c>
      <c r="B4" s="7" t="s">
        <v>126</v>
      </c>
      <c r="C4" s="7" t="s">
        <v>127</v>
      </c>
      <c r="D4" s="7" t="s">
        <v>128</v>
      </c>
      <c r="E4" s="7" t="s">
        <v>129</v>
      </c>
      <c r="F4" s="7" t="s">
        <v>130</v>
      </c>
      <c r="G4" s="7" t="s">
        <v>131</v>
      </c>
      <c r="H4" s="7" t="s">
        <v>132</v>
      </c>
      <c r="I4" s="7" t="s">
        <v>133</v>
      </c>
    </row>
    <row r="5" customFormat="false" ht="15" hidden="false" customHeight="false" outlineLevel="0" collapsed="false">
      <c r="A5" s="8" t="s">
        <v>134</v>
      </c>
      <c r="B5" s="9"/>
      <c r="C5" s="9"/>
      <c r="D5" s="9"/>
      <c r="E5" s="9"/>
      <c r="F5" s="9"/>
      <c r="G5" s="9"/>
      <c r="H5" s="9"/>
    </row>
    <row r="6" customFormat="false" ht="37.5" hidden="false" customHeight="true" outlineLevel="0" collapsed="false">
      <c r="A6" s="13" t="s">
        <v>135</v>
      </c>
      <c r="B6" s="19" t="s">
        <v>136</v>
      </c>
      <c r="C6" s="20" t="n">
        <f aca="false">IFERROR(Datos!B11/Datos!B17,0)</f>
        <v>1.52631578947368</v>
      </c>
      <c r="D6" s="20" t="n">
        <f aca="false">IFERROR(Datos!C11/Datos!C17,0)</f>
        <v>1.48235294117647</v>
      </c>
      <c r="E6" s="21" t="n">
        <f aca="false">IF(D6=0,0,(C6-D6)/ABS(D6))</f>
        <v>0.0296574770258981</v>
      </c>
      <c r="F6" s="17" t="n">
        <v>1.5</v>
      </c>
      <c r="G6" s="22" t="s">
        <v>137</v>
      </c>
      <c r="H6" s="23" t="s">
        <v>138</v>
      </c>
      <c r="I6" s="24" t="str">
        <f aca="false">IF(G6="Mayor",IF(C6&gt;=F6,"Bien","Revisar"),IF(C6&lt;=F6,"Bien","Revisar"))</f>
        <v>Bien</v>
      </c>
    </row>
    <row r="7" customFormat="false" ht="37.5" hidden="false" customHeight="true" outlineLevel="0" collapsed="false">
      <c r="A7" s="13" t="s">
        <v>139</v>
      </c>
      <c r="B7" s="19" t="s">
        <v>140</v>
      </c>
      <c r="C7" s="20" t="n">
        <f aca="false">IFERROR((Datos!B11-Datos!B9)/Datos!B17,0)</f>
        <v>0.815789473684211</v>
      </c>
      <c r="D7" s="20" t="n">
        <f aca="false">IFERROR((Datos!C11-Datos!C9)/Datos!C17,0)</f>
        <v>0.805882352941177</v>
      </c>
      <c r="E7" s="21" t="n">
        <f aca="false">IF(D7=0,0,(C7-D7)/ABS(D7))</f>
        <v>0.0122935074913561</v>
      </c>
      <c r="F7" s="17" t="n">
        <v>1</v>
      </c>
      <c r="G7" s="22" t="s">
        <v>137</v>
      </c>
      <c r="H7" s="23" t="s">
        <v>141</v>
      </c>
      <c r="I7" s="24" t="str">
        <f aca="false">IF(G7="Mayor",IF(C7&gt;=F7,"Bien","Revisar"),IF(C7&lt;=F7,"Bien","Revisar"))</f>
        <v>Revisar</v>
      </c>
    </row>
    <row r="8" customFormat="false" ht="37.5" hidden="false" customHeight="true" outlineLevel="0" collapsed="false">
      <c r="A8" s="13" t="s">
        <v>142</v>
      </c>
      <c r="B8" s="19" t="s">
        <v>143</v>
      </c>
      <c r="C8" s="25" t="n">
        <f aca="false">IFERROR(Datos!B11-Datos!B17,0)</f>
        <v>1000</v>
      </c>
      <c r="D8" s="25" t="n">
        <f aca="false">IFERROR(Datos!C11-Datos!C17,0)</f>
        <v>820</v>
      </c>
      <c r="E8" s="21" t="n">
        <f aca="false">IF(D8=0,0,(C8-D8)/ABS(D8))</f>
        <v>0.219512195121951</v>
      </c>
      <c r="F8" s="11" t="n">
        <v>0</v>
      </c>
      <c r="G8" s="22" t="s">
        <v>137</v>
      </c>
      <c r="H8" s="23" t="s">
        <v>144</v>
      </c>
      <c r="I8" s="24" t="str">
        <f aca="false">IF(G8="Mayor",IF(C8&gt;=F8,"Bien","Revisar"),IF(C8&lt;=F8,"Bien","Revisar"))</f>
        <v>Bien</v>
      </c>
    </row>
    <row r="9" customFormat="false" ht="37.5" hidden="false" customHeight="true" outlineLevel="0" collapsed="false">
      <c r="A9" s="13" t="s">
        <v>145</v>
      </c>
      <c r="B9" s="19" t="s">
        <v>146</v>
      </c>
      <c r="C9" s="20" t="n">
        <f aca="false">IFERROR(Datos!B7/Datos!B17,0)</f>
        <v>0.221052631578947</v>
      </c>
      <c r="D9" s="20" t="n">
        <f aca="false">IFERROR(Datos!C7/Datos!C17,0)</f>
        <v>0.223529411764706</v>
      </c>
      <c r="E9" s="21" t="n">
        <f aca="false">IF(D9=0,0,(C9-D9)/ABS(D9))</f>
        <v>-0.0110803324099724</v>
      </c>
      <c r="F9" s="17" t="n">
        <v>0.2</v>
      </c>
      <c r="G9" s="22" t="s">
        <v>137</v>
      </c>
      <c r="H9" s="23" t="s">
        <v>147</v>
      </c>
      <c r="I9" s="24" t="str">
        <f aca="false">IF(G9="Mayor",IF(C9&gt;=F9,"Bien","Revisar"),IF(C9&lt;=F9,"Bien","Revisar"))</f>
        <v>Bien</v>
      </c>
    </row>
    <row r="10" customFormat="false" ht="15" hidden="false" customHeight="false" outlineLevel="0" collapsed="false">
      <c r="A10" s="8" t="s">
        <v>75</v>
      </c>
      <c r="B10" s="9"/>
      <c r="C10" s="9"/>
      <c r="D10" s="9"/>
      <c r="E10" s="9"/>
      <c r="F10" s="9"/>
      <c r="G10" s="9"/>
      <c r="H10" s="9"/>
    </row>
    <row r="11" customFormat="false" ht="37.5" hidden="false" customHeight="true" outlineLevel="0" collapsed="false">
      <c r="A11" s="13" t="s">
        <v>148</v>
      </c>
      <c r="B11" s="19" t="s">
        <v>149</v>
      </c>
      <c r="C11" s="20" t="n">
        <f aca="false">IFERROR(Datos!B36/Datos!B33,0)</f>
        <v>0.67032967032967</v>
      </c>
      <c r="D11" s="20" t="n">
        <f aca="false">IFERROR(Datos!C36/Datos!C33,0)</f>
        <v>0.818181818181818</v>
      </c>
      <c r="E11" s="21" t="n">
        <f aca="false">IF(D11=0,0,(C11-D11)/ABS(D11))</f>
        <v>-0.180708180708181</v>
      </c>
      <c r="F11" s="17" t="n">
        <v>1</v>
      </c>
      <c r="G11" s="22" t="s">
        <v>137</v>
      </c>
      <c r="H11" s="23" t="s">
        <v>150</v>
      </c>
      <c r="I11" s="24" t="str">
        <f aca="false">IF(G11="Mayor",IF(C11&gt;=F11,"Bien","Revisar"),IF(C11&lt;=F11,"Bien","Revisar"))</f>
        <v>Revisar</v>
      </c>
    </row>
    <row r="12" customFormat="false" ht="37.5" hidden="false" customHeight="true" outlineLevel="0" collapsed="false">
      <c r="A12" s="13" t="s">
        <v>151</v>
      </c>
      <c r="B12" s="19" t="s">
        <v>152</v>
      </c>
      <c r="C12" s="25" t="n">
        <f aca="false">IFERROR(Datos!B38,0)</f>
        <v>310</v>
      </c>
      <c r="D12" s="25" t="n">
        <f aca="false">IFERROR(Datos!C38,0)</f>
        <v>280</v>
      </c>
      <c r="E12" s="21" t="n">
        <f aca="false">IF(D12=0,0,(C12-D12)/ABS(D12))</f>
        <v>0.107142857142857</v>
      </c>
      <c r="F12" s="11" t="n">
        <v>0</v>
      </c>
      <c r="G12" s="22" t="s">
        <v>137</v>
      </c>
      <c r="H12" s="23" t="s">
        <v>153</v>
      </c>
      <c r="I12" s="24" t="str">
        <f aca="false">IF(G12="Mayor",IF(C12&gt;=F12,"Bien","Revisar"),IF(C12&lt;=F12,"Bien","Revisar"))</f>
        <v>Bien</v>
      </c>
    </row>
    <row r="13" customFormat="false" ht="37.5" hidden="false" customHeight="true" outlineLevel="0" collapsed="false">
      <c r="A13" s="13" t="s">
        <v>154</v>
      </c>
      <c r="B13" s="19" t="s">
        <v>155</v>
      </c>
      <c r="C13" s="20" t="n">
        <f aca="false">IFERROR(Datos!B36/Datos!B39,0)</f>
        <v>1.45238095238095</v>
      </c>
      <c r="D13" s="20" t="n">
        <f aca="false">IFERROR(Datos!C36/Datos!C39,0)</f>
        <v>1.35</v>
      </c>
      <c r="E13" s="21" t="n">
        <f aca="false">IF(D13=0,0,(C13-D13)/ABS(D13))</f>
        <v>0.0758377425044091</v>
      </c>
      <c r="F13" s="17" t="n">
        <v>1.25</v>
      </c>
      <c r="G13" s="22" t="s">
        <v>137</v>
      </c>
      <c r="H13" s="23" t="s">
        <v>156</v>
      </c>
      <c r="I13" s="24" t="str">
        <f aca="false">IF(G13="Mayor",IF(C13&gt;=F13,"Bien","Revisar"),IF(C13&lt;=F13,"Bien","Revisar"))</f>
        <v>Bien</v>
      </c>
    </row>
    <row r="14" customFormat="false" ht="37.5" hidden="false" customHeight="true" outlineLevel="0" collapsed="false">
      <c r="A14" s="13" t="s">
        <v>157</v>
      </c>
      <c r="B14" s="19" t="s">
        <v>158</v>
      </c>
      <c r="C14" s="26" t="n">
        <f aca="false">IFERROR(Datos!B7/((Datos!B25+Datos!B26)/Datos!B40),0)</f>
        <v>18.8098159509202</v>
      </c>
      <c r="D14" s="26" t="n">
        <f aca="false">IFERROR(Datos!C7/((Datos!C25+Datos!C26)/Datos!C40),0)</f>
        <v>18.3223249669749</v>
      </c>
      <c r="E14" s="21" t="n">
        <f aca="false">IF(D14=0,0,(C14-D14)/ABS(D14))</f>
        <v>0.0266063932838231</v>
      </c>
      <c r="F14" s="27" t="n">
        <v>30</v>
      </c>
      <c r="G14" s="22" t="s">
        <v>137</v>
      </c>
      <c r="H14" s="23" t="s">
        <v>159</v>
      </c>
      <c r="I14" s="24" t="str">
        <f aca="false">IF(G14="Mayor",IF(C14&gt;=F14,"Bien","Revisar"),IF(C14&lt;=F14,"Bien","Revisar"))</f>
        <v>Revisar</v>
      </c>
    </row>
    <row r="15" customFormat="false" ht="15" hidden="false" customHeight="false" outlineLevel="0" collapsed="false">
      <c r="A15" s="8" t="s">
        <v>160</v>
      </c>
      <c r="B15" s="9"/>
      <c r="C15" s="9"/>
      <c r="D15" s="9"/>
      <c r="E15" s="9"/>
      <c r="F15" s="9"/>
      <c r="G15" s="9"/>
      <c r="H15" s="9"/>
    </row>
    <row r="16" customFormat="false" ht="37.5" hidden="false" customHeight="true" outlineLevel="0" collapsed="false">
      <c r="A16" s="13" t="s">
        <v>161</v>
      </c>
      <c r="B16" s="19" t="s">
        <v>162</v>
      </c>
      <c r="C16" s="28" t="n">
        <f aca="false">IFERROR(Datos!B30/Datos!B24,0)</f>
        <v>0.352040816326531</v>
      </c>
      <c r="D16" s="28" t="n">
        <f aca="false">IFERROR(Datos!C30/Datos!C24,0)</f>
        <v>0.340449438202247</v>
      </c>
      <c r="E16" s="21" t="n">
        <f aca="false">IF(D16=0,0,(C16-D16)/ABS(D16))</f>
        <v>0.0340472822792483</v>
      </c>
      <c r="F16" s="16" t="n">
        <v>0.3</v>
      </c>
      <c r="G16" s="22" t="s">
        <v>137</v>
      </c>
      <c r="H16" s="23" t="s">
        <v>163</v>
      </c>
      <c r="I16" s="24" t="str">
        <f aca="false">IF(G16="Mayor",IF(C16&gt;=F16,"Bien","Revisar"),IF(C16&lt;=F16,"Bien","Revisar"))</f>
        <v>Bien</v>
      </c>
    </row>
    <row r="17" customFormat="false" ht="37.5" hidden="false" customHeight="true" outlineLevel="0" collapsed="false">
      <c r="A17" s="13" t="s">
        <v>164</v>
      </c>
      <c r="B17" s="19" t="s">
        <v>165</v>
      </c>
      <c r="C17" s="28" t="n">
        <f aca="false">IFERROR(Datos!B31/Datos!B24,0)</f>
        <v>0.168367346938776</v>
      </c>
      <c r="D17" s="28" t="n">
        <f aca="false">IFERROR(Datos!C31/Datos!C24,0)</f>
        <v>0.149438202247191</v>
      </c>
      <c r="E17" s="21" t="n">
        <f aca="false">IF(D17=0,0,(C17-D17)/ABS(D17))</f>
        <v>0.126668712597821</v>
      </c>
      <c r="F17" s="16" t="n">
        <v>0.15</v>
      </c>
      <c r="G17" s="22" t="s">
        <v>137</v>
      </c>
      <c r="H17" s="23" t="s">
        <v>166</v>
      </c>
      <c r="I17" s="24" t="str">
        <f aca="false">IF(G17="Mayor",IF(C17&gt;=F17,"Bien","Revisar"),IF(C17&lt;=F17,"Bien","Revisar"))</f>
        <v>Bien</v>
      </c>
    </row>
    <row r="18" customFormat="false" ht="37.5" hidden="false" customHeight="true" outlineLevel="0" collapsed="false">
      <c r="A18" s="13" t="s">
        <v>167</v>
      </c>
      <c r="B18" s="19" t="s">
        <v>168</v>
      </c>
      <c r="C18" s="28" t="n">
        <f aca="false">IFERROR(Datos!B33/Datos!B24,0)</f>
        <v>0.0928571428571429</v>
      </c>
      <c r="D18" s="28" t="n">
        <f aca="false">IFERROR(Datos!C33/Datos!C24,0)</f>
        <v>0.0741573033707865</v>
      </c>
      <c r="E18" s="21" t="n">
        <f aca="false">IF(D18=0,0,(C18-D18)/ABS(D18))</f>
        <v>0.252164502164502</v>
      </c>
      <c r="F18" s="16" t="n">
        <v>0.08</v>
      </c>
      <c r="G18" s="22" t="s">
        <v>137</v>
      </c>
      <c r="H18" s="23" t="s">
        <v>169</v>
      </c>
      <c r="I18" s="24" t="str">
        <f aca="false">IF(G18="Mayor",IF(C18&gt;=F18,"Bien","Revisar"),IF(C18&lt;=F18,"Bien","Revisar"))</f>
        <v>Bien</v>
      </c>
    </row>
    <row r="19" customFormat="false" ht="37.5" hidden="false" customHeight="true" outlineLevel="0" collapsed="false">
      <c r="A19" s="13" t="s">
        <v>170</v>
      </c>
      <c r="B19" s="19" t="s">
        <v>171</v>
      </c>
      <c r="C19" s="28" t="n">
        <f aca="false">IFERROR(Datos!B33/Datos!B20*365/Datos!B40,0)</f>
        <v>0.379166666666667</v>
      </c>
      <c r="D19" s="28" t="n">
        <f aca="false">IFERROR(Datos!C33/Datos!C20*365/Datos!C40,0)</f>
        <v>0.318840579710145</v>
      </c>
      <c r="E19" s="21" t="n">
        <f aca="false">IF(D19=0,0,(C19-D19)/ABS(D19))</f>
        <v>0.189204545454545</v>
      </c>
      <c r="F19" s="16" t="n">
        <v>0.12</v>
      </c>
      <c r="G19" s="22" t="s">
        <v>137</v>
      </c>
      <c r="H19" s="23" t="s">
        <v>172</v>
      </c>
      <c r="I19" s="24" t="str">
        <f aca="false">IF(G19="Mayor",IF(C19&gt;=F19,"Bien","Revisar"),IF(C19&lt;=F19,"Bien","Revisar"))</f>
        <v>Bien</v>
      </c>
    </row>
    <row r="20" customFormat="false" ht="37.5" hidden="false" customHeight="true" outlineLevel="0" collapsed="false">
      <c r="A20" s="13" t="s">
        <v>173</v>
      </c>
      <c r="B20" s="19" t="s">
        <v>174</v>
      </c>
      <c r="C20" s="28" t="n">
        <f aca="false">IFERROR(Datos!B33/Datos!B13*365/Datos!B40,0)</f>
        <v>0.165454545454545</v>
      </c>
      <c r="D20" s="28" t="n">
        <f aca="false">IFERROR(Datos!C33/Datos!C13*365/Datos!C40,0)</f>
        <v>0.131474103585657</v>
      </c>
      <c r="E20" s="21" t="n">
        <f aca="false">IF(D20=0,0,(C20-D20)/ABS(D20))</f>
        <v>0.258457300275482</v>
      </c>
      <c r="F20" s="16" t="n">
        <v>0.06</v>
      </c>
      <c r="G20" s="22" t="s">
        <v>137</v>
      </c>
      <c r="H20" s="23" t="s">
        <v>175</v>
      </c>
      <c r="I20" s="24" t="str">
        <f aca="false">IF(G20="Mayor",IF(C20&gt;=F20,"Bien","Revisar"),IF(C20&lt;=F20,"Bien","Revisar"))</f>
        <v>Bien</v>
      </c>
    </row>
    <row r="21" customFormat="false" ht="15" hidden="false" customHeight="false" outlineLevel="0" collapsed="false">
      <c r="A21" s="8" t="s">
        <v>176</v>
      </c>
      <c r="B21" s="9"/>
      <c r="C21" s="9"/>
      <c r="D21" s="9"/>
      <c r="E21" s="9"/>
      <c r="F21" s="9"/>
      <c r="G21" s="9"/>
      <c r="H21" s="9"/>
    </row>
    <row r="22" customFormat="false" ht="37.5" hidden="false" customHeight="true" outlineLevel="0" collapsed="false">
      <c r="A22" s="13" t="s">
        <v>177</v>
      </c>
      <c r="B22" s="19" t="s">
        <v>178</v>
      </c>
      <c r="C22" s="20" t="n">
        <f aca="false">IFERROR(Datos!B25/Datos!B9*365/Datos!B40,0)</f>
        <v>4.7037037037037</v>
      </c>
      <c r="D22" s="20" t="n">
        <f aca="false">IFERROR(Datos!C25/Datos!C9*365/Datos!C40,0)</f>
        <v>5.10434782608696</v>
      </c>
      <c r="E22" s="21" t="n">
        <f aca="false">IF(D22=0,0,(C22-D22)/ABS(D22))</f>
        <v>-0.0784907565146067</v>
      </c>
      <c r="F22" s="17" t="n">
        <v>6</v>
      </c>
      <c r="G22" s="22" t="s">
        <v>137</v>
      </c>
      <c r="H22" s="23" t="s">
        <v>179</v>
      </c>
      <c r="I22" s="24" t="str">
        <f aca="false">IF(G22="Mayor",IF(C22&gt;=F22,"Bien","Revisar"),IF(C22&lt;=F22,"Bien","Revisar"))</f>
        <v>Revisar</v>
      </c>
    </row>
    <row r="23" customFormat="false" ht="37.5" hidden="false" customHeight="true" outlineLevel="0" collapsed="false">
      <c r="A23" s="13" t="s">
        <v>180</v>
      </c>
      <c r="B23" s="19" t="s">
        <v>181</v>
      </c>
      <c r="C23" s="26" t="n">
        <f aca="false">IFERROR(Datos!B9/Datos!B25*Datos!B40,0)</f>
        <v>77.5984251968504</v>
      </c>
      <c r="D23" s="26" t="n">
        <f aca="false">IFERROR(Datos!C9/Datos!C25*Datos!C40,0)</f>
        <v>71.5076660988075</v>
      </c>
      <c r="E23" s="21" t="n">
        <f aca="false">IF(D23=0,0,(C23-D23)/ABS(D23))</f>
        <v>0.0851763094830537</v>
      </c>
      <c r="F23" s="27" t="n">
        <v>60</v>
      </c>
      <c r="G23" s="22" t="s">
        <v>182</v>
      </c>
      <c r="H23" s="23" t="s">
        <v>183</v>
      </c>
      <c r="I23" s="24" t="str">
        <f aca="false">IF(G23="Mayor",IF(C23&gt;=F23,"Bien","Revisar"),IF(C23&lt;=F23,"Bien","Revisar"))</f>
        <v>Revisar</v>
      </c>
    </row>
    <row r="24" customFormat="false" ht="37.5" hidden="false" customHeight="true" outlineLevel="0" collapsed="false">
      <c r="A24" s="13" t="s">
        <v>184</v>
      </c>
      <c r="B24" s="19" t="s">
        <v>185</v>
      </c>
      <c r="C24" s="26" t="n">
        <f aca="false">IFERROR(Datos!B8/Datos!B24*Datos!B40,0)</f>
        <v>36.5</v>
      </c>
      <c r="D24" s="26" t="n">
        <f aca="false">IFERROR(Datos!C8/Datos!C24*Datos!C40,0)</f>
        <v>35.2696629213483</v>
      </c>
      <c r="E24" s="21" t="n">
        <f aca="false">IF(D24=0,0,(C24-D24)/ABS(D24))</f>
        <v>0.0348837209302326</v>
      </c>
      <c r="F24" s="27" t="n">
        <v>45</v>
      </c>
      <c r="G24" s="22" t="s">
        <v>182</v>
      </c>
      <c r="H24" s="23" t="s">
        <v>186</v>
      </c>
      <c r="I24" s="24" t="str">
        <f aca="false">IF(G24="Mayor",IF(C24&gt;=F24,"Bien","Revisar"),IF(C24&lt;=F24,"Bien","Revisar"))</f>
        <v>Bien</v>
      </c>
    </row>
    <row r="25" customFormat="false" ht="37.5" hidden="false" customHeight="true" outlineLevel="0" collapsed="false">
      <c r="A25" s="13" t="s">
        <v>187</v>
      </c>
      <c r="B25" s="19" t="s">
        <v>188</v>
      </c>
      <c r="C25" s="26" t="n">
        <f aca="false">IFERROR(Datos!B15/Datos!B25*Datos!B40,0)</f>
        <v>51.7322834645669</v>
      </c>
      <c r="D25" s="26" t="n">
        <f aca="false">IFERROR(Datos!C15/Datos!C25*Datos!C40,0)</f>
        <v>48.5008517887564</v>
      </c>
      <c r="E25" s="21" t="n">
        <f aca="false">IF(D25=0,0,(C25-D25)/ABS(D25))</f>
        <v>0.0666262870987281</v>
      </c>
      <c r="F25" s="27" t="n">
        <v>45</v>
      </c>
      <c r="G25" s="22" t="s">
        <v>137</v>
      </c>
      <c r="H25" s="23" t="s">
        <v>189</v>
      </c>
      <c r="I25" s="24" t="str">
        <f aca="false">IF(G25="Mayor",IF(C25&gt;=F25,"Bien","Revisar"),IF(C25&lt;=F25,"Bien","Revisar"))</f>
        <v>Bien</v>
      </c>
    </row>
    <row r="26" customFormat="false" ht="37.5" hidden="false" customHeight="true" outlineLevel="0" collapsed="false">
      <c r="A26" s="13" t="s">
        <v>190</v>
      </c>
      <c r="B26" s="19" t="s">
        <v>191</v>
      </c>
      <c r="C26" s="26" t="n">
        <f aca="false">C23+C24-C25</f>
        <v>62.3661417322835</v>
      </c>
      <c r="D26" s="26" t="n">
        <f aca="false">D23+D24-D25</f>
        <v>58.2764772313994</v>
      </c>
      <c r="E26" s="21" t="n">
        <f aca="false">IF(D26=0,0,(C26-D26)/ABS(D26))</f>
        <v>0.0701769340765939</v>
      </c>
      <c r="F26" s="27" t="n">
        <v>60</v>
      </c>
      <c r="G26" s="22" t="s">
        <v>182</v>
      </c>
      <c r="H26" s="23" t="s">
        <v>192</v>
      </c>
      <c r="I26" s="24" t="str">
        <f aca="false">IF(G26="Mayor",IF(C26&gt;=F26,"Bien","Revisar"),IF(C26&lt;=F26,"Bien","Revisar"))</f>
        <v>Revisar</v>
      </c>
    </row>
    <row r="27" customFormat="false" ht="15" hidden="false" customHeight="false" outlineLevel="0" collapsed="false">
      <c r="A27" s="8" t="s">
        <v>193</v>
      </c>
      <c r="B27" s="9"/>
      <c r="C27" s="9"/>
      <c r="D27" s="9"/>
      <c r="E27" s="9"/>
      <c r="F27" s="9"/>
      <c r="G27" s="9"/>
      <c r="H27" s="9"/>
    </row>
    <row r="28" customFormat="false" ht="37.5" hidden="false" customHeight="true" outlineLevel="0" collapsed="false">
      <c r="A28" s="13" t="s">
        <v>194</v>
      </c>
      <c r="B28" s="19" t="s">
        <v>195</v>
      </c>
      <c r="C28" s="28" t="n">
        <f aca="false">IFERROR(Datos!B19/Datos!B13,0)</f>
        <v>0.563636363636364</v>
      </c>
      <c r="D28" s="28" t="n">
        <f aca="false">IFERROR(Datos!C19/Datos!C13,0)</f>
        <v>0.587649402390438</v>
      </c>
      <c r="E28" s="21" t="n">
        <f aca="false">IF(D28=0,0,(C28-D28)/ABS(D28))</f>
        <v>-0.0408628659476118</v>
      </c>
      <c r="F28" s="16" t="n">
        <v>0.6</v>
      </c>
      <c r="G28" s="22" t="s">
        <v>182</v>
      </c>
      <c r="H28" s="23" t="s">
        <v>196</v>
      </c>
      <c r="I28" s="24" t="str">
        <f aca="false">IF(G28="Mayor",IF(C28&gt;=F28,"Bien","Revisar"),IF(C28&lt;=F28,"Bien","Revisar"))</f>
        <v>Bien</v>
      </c>
    </row>
    <row r="29" customFormat="false" ht="37.5" hidden="false" customHeight="true" outlineLevel="0" collapsed="false">
      <c r="A29" s="13" t="s">
        <v>197</v>
      </c>
      <c r="B29" s="19" t="s">
        <v>198</v>
      </c>
      <c r="C29" s="20" t="n">
        <f aca="false">IFERROR(Datos!B32/Datos!B28,0)</f>
        <v>7.52631578947368</v>
      </c>
      <c r="D29" s="20" t="n">
        <f aca="false">IFERROR(Datos!C32/Datos!C28,0)</f>
        <v>6.22222222222222</v>
      </c>
      <c r="E29" s="21" t="n">
        <f aca="false">IF(D29=0,0,(C29-D29)/ABS(D29))</f>
        <v>0.209586466165414</v>
      </c>
      <c r="F29" s="17" t="n">
        <v>3</v>
      </c>
      <c r="G29" s="22" t="s">
        <v>137</v>
      </c>
      <c r="H29" s="23" t="s">
        <v>199</v>
      </c>
      <c r="I29" s="24" t="str">
        <f aca="false">IF(G29="Mayor",IF(C29&gt;=F29,"Bien","Revisar"),IF(C29&lt;=F29,"Bien","Revisar"))</f>
        <v>Bien</v>
      </c>
    </row>
    <row r="31" customFormat="false" ht="15" hidden="false" customHeight="false" outlineLevel="0" collapsed="false">
      <c r="A31" s="29" t="s">
        <v>200</v>
      </c>
    </row>
  </sheetData>
  <mergeCells count="2">
    <mergeCell ref="A1:H1"/>
    <mergeCell ref="A2:H2"/>
  </mergeCells>
  <conditionalFormatting sqref="I5:I29">
    <cfRule type="cellIs" priority="2" operator="equal" aboveAverage="0" equalAverage="0" bottom="0" percent="0" rank="0" text="" dxfId="0">
      <formula>"Bien"</formula>
    </cfRule>
    <cfRule type="cellIs" priority="3" operator="equal" aboveAverage="0" equalAverage="0" bottom="0" percent="0" rank="0" text="" dxfId="1">
      <formula>"Revisar"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  <col collapsed="false" customWidth="true" hidden="false" outlineLevel="0" max="7" min="5" style="0" width="12"/>
    <col collapsed="false" customWidth="true" hidden="false" outlineLevel="0" max="8" min="8" style="0" width="20"/>
  </cols>
  <sheetData>
    <row r="1" customFormat="false" ht="33.75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202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7" t="s">
        <v>39</v>
      </c>
      <c r="B4" s="7" t="s">
        <v>127</v>
      </c>
      <c r="C4" s="7" t="s">
        <v>128</v>
      </c>
      <c r="D4" s="7" t="s">
        <v>203</v>
      </c>
      <c r="E4" s="7" t="s">
        <v>204</v>
      </c>
      <c r="F4" s="7" t="s">
        <v>205</v>
      </c>
      <c r="G4" s="7" t="s">
        <v>206</v>
      </c>
      <c r="H4" s="7" t="s">
        <v>207</v>
      </c>
    </row>
    <row r="5" customFormat="false" ht="15" hidden="false" customHeight="false" outlineLevel="0" collapsed="false">
      <c r="A5" s="8" t="s">
        <v>208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A6" s="10" t="s">
        <v>44</v>
      </c>
      <c r="B6" s="30" t="n">
        <f aca="false">Datos!B7</f>
        <v>420</v>
      </c>
      <c r="C6" s="30" t="n">
        <f aca="false">Datos!C7</f>
        <v>380</v>
      </c>
      <c r="D6" s="30" t="n">
        <f aca="false">B6-C6</f>
        <v>40</v>
      </c>
      <c r="E6" s="31" t="n">
        <f aca="false">IFERROR(D6/ABS(C6),0)</f>
        <v>0.105263157894737</v>
      </c>
      <c r="F6" s="31" t="n">
        <f aca="false">IFERROR(B6/Datos!B13,0)</f>
        <v>0.0763636363636364</v>
      </c>
      <c r="G6" s="31" t="n">
        <f aca="false">IFERROR(C6/Datos!C13,0)</f>
        <v>0.0756972111553785</v>
      </c>
      <c r="H6" s="32" t="str">
        <f aca="false">IF(ABS(E6)&gt;0.2,"Variación fuerte","")</f>
        <v/>
      </c>
    </row>
    <row r="7" customFormat="false" ht="15" hidden="false" customHeight="false" outlineLevel="0" collapsed="false">
      <c r="A7" s="10" t="s">
        <v>209</v>
      </c>
      <c r="B7" s="30" t="n">
        <f aca="false">Datos!B8</f>
        <v>980</v>
      </c>
      <c r="C7" s="30" t="n">
        <f aca="false">Datos!C8</f>
        <v>860</v>
      </c>
      <c r="D7" s="30" t="n">
        <f aca="false">B7-C7</f>
        <v>120</v>
      </c>
      <c r="E7" s="31" t="n">
        <f aca="false">IFERROR(D7/ABS(C7),0)</f>
        <v>0.13953488372093</v>
      </c>
      <c r="F7" s="31" t="n">
        <f aca="false">IFERROR(B7/Datos!B13,0)</f>
        <v>0.178181818181818</v>
      </c>
      <c r="G7" s="31" t="n">
        <f aca="false">IFERROR(C7/Datos!C13,0)</f>
        <v>0.171314741035857</v>
      </c>
      <c r="H7" s="32" t="str">
        <f aca="false">IF(ABS(E7)&gt;0.2,"Variación fuerte","")</f>
        <v/>
      </c>
    </row>
    <row r="8" customFormat="false" ht="15" hidden="false" customHeight="false" outlineLevel="0" collapsed="false">
      <c r="A8" s="10" t="s">
        <v>26</v>
      </c>
      <c r="B8" s="30" t="n">
        <f aca="false">Datos!B9</f>
        <v>1350</v>
      </c>
      <c r="C8" s="30" t="n">
        <f aca="false">Datos!C9</f>
        <v>1150</v>
      </c>
      <c r="D8" s="30" t="n">
        <f aca="false">B8-C8</f>
        <v>200</v>
      </c>
      <c r="E8" s="31" t="n">
        <f aca="false">IFERROR(D8/ABS(C8),0)</f>
        <v>0.173913043478261</v>
      </c>
      <c r="F8" s="31" t="n">
        <f aca="false">IFERROR(B8/Datos!B13,0)</f>
        <v>0.245454545454545</v>
      </c>
      <c r="G8" s="31" t="n">
        <f aca="false">IFERROR(C8/Datos!C13,0)</f>
        <v>0.229083665338645</v>
      </c>
      <c r="H8" s="32" t="str">
        <f aca="false">IF(ABS(E8)&gt;0.2,"Variación fuerte","")</f>
        <v/>
      </c>
    </row>
    <row r="9" customFormat="false" ht="15" hidden="false" customHeight="false" outlineLevel="0" collapsed="false">
      <c r="A9" s="10" t="s">
        <v>46</v>
      </c>
      <c r="B9" s="30" t="n">
        <f aca="false">Datos!B10</f>
        <v>150</v>
      </c>
      <c r="C9" s="30" t="n">
        <f aca="false">Datos!C10</f>
        <v>130</v>
      </c>
      <c r="D9" s="30" t="n">
        <f aca="false">B9-C9</f>
        <v>20</v>
      </c>
      <c r="E9" s="31" t="n">
        <f aca="false">IFERROR(D9/ABS(C9),0)</f>
        <v>0.153846153846154</v>
      </c>
      <c r="F9" s="31" t="n">
        <f aca="false">IFERROR(B9/Datos!B13,0)</f>
        <v>0.0272727272727273</v>
      </c>
      <c r="G9" s="31" t="n">
        <f aca="false">IFERROR(C9/Datos!C13,0)</f>
        <v>0.0258964143426295</v>
      </c>
      <c r="H9" s="32" t="str">
        <f aca="false">IF(ABS(E9)&gt;0.2,"Variación fuerte","")</f>
        <v/>
      </c>
    </row>
    <row r="10" customFormat="false" ht="15" hidden="false" customHeight="false" outlineLevel="0" collapsed="false">
      <c r="A10" s="13" t="s">
        <v>47</v>
      </c>
      <c r="B10" s="33" t="n">
        <f aca="false">Datos!B11</f>
        <v>2900</v>
      </c>
      <c r="C10" s="33" t="n">
        <f aca="false">Datos!C11</f>
        <v>2520</v>
      </c>
      <c r="D10" s="33" t="n">
        <f aca="false">B10-C10</f>
        <v>380</v>
      </c>
      <c r="E10" s="34" t="n">
        <f aca="false">IFERROR(D10/ABS(C10),0)</f>
        <v>0.150793650793651</v>
      </c>
      <c r="F10" s="34" t="n">
        <f aca="false">IFERROR(B10/Datos!B13,0)</f>
        <v>0.527272727272727</v>
      </c>
      <c r="G10" s="34" t="n">
        <f aca="false">IFERROR(C10/Datos!C13,0)</f>
        <v>0.50199203187251</v>
      </c>
      <c r="H10" s="35" t="str">
        <f aca="false">IF(ABS(E10)&gt;0.2,"Variación fuerte","")</f>
        <v/>
      </c>
    </row>
    <row r="11" customFormat="false" ht="15" hidden="false" customHeight="false" outlineLevel="0" collapsed="false">
      <c r="A11" s="10" t="s">
        <v>48</v>
      </c>
      <c r="B11" s="30" t="n">
        <f aca="false">Datos!B12</f>
        <v>2600</v>
      </c>
      <c r="C11" s="30" t="n">
        <f aca="false">Datos!C12</f>
        <v>2500</v>
      </c>
      <c r="D11" s="30" t="n">
        <f aca="false">B11-C11</f>
        <v>100</v>
      </c>
      <c r="E11" s="31" t="n">
        <f aca="false">IFERROR(D11/ABS(C11),0)</f>
        <v>0.04</v>
      </c>
      <c r="F11" s="31" t="n">
        <f aca="false">IFERROR(B11/Datos!B13,0)</f>
        <v>0.472727272727273</v>
      </c>
      <c r="G11" s="31" t="n">
        <f aca="false">IFERROR(C11/Datos!C13,0)</f>
        <v>0.49800796812749</v>
      </c>
      <c r="H11" s="32" t="str">
        <f aca="false">IF(ABS(E11)&gt;0.2,"Variación fuerte","")</f>
        <v/>
      </c>
    </row>
    <row r="12" customFormat="false" ht="15" hidden="false" customHeight="false" outlineLevel="0" collapsed="false">
      <c r="A12" s="13" t="s">
        <v>50</v>
      </c>
      <c r="B12" s="33" t="n">
        <f aca="false">Datos!B13</f>
        <v>5500</v>
      </c>
      <c r="C12" s="33" t="n">
        <f aca="false">Datos!C13</f>
        <v>5020</v>
      </c>
      <c r="D12" s="33" t="n">
        <f aca="false">B12-C12</f>
        <v>480</v>
      </c>
      <c r="E12" s="34" t="n">
        <f aca="false">IFERROR(D12/ABS(C12),0)</f>
        <v>0.0956175298804781</v>
      </c>
      <c r="F12" s="34" t="n">
        <f aca="false">IFERROR(B12/Datos!B13,0)</f>
        <v>1</v>
      </c>
      <c r="G12" s="34" t="n">
        <f aca="false">IFERROR(C12/Datos!C13,0)</f>
        <v>1</v>
      </c>
      <c r="H12" s="35" t="str">
        <f aca="false">IF(ABS(E12)&gt;0.2,"Variación fuerte","")</f>
        <v/>
      </c>
    </row>
    <row r="13" customFormat="false" ht="15" hidden="false" customHeight="false" outlineLevel="0" collapsed="false">
      <c r="A13" s="10" t="s">
        <v>51</v>
      </c>
      <c r="B13" s="30" t="n">
        <f aca="false">Datos!B14</f>
        <v>700</v>
      </c>
      <c r="C13" s="30" t="n">
        <f aca="false">Datos!C14</f>
        <v>650</v>
      </c>
      <c r="D13" s="30" t="n">
        <f aca="false">B13-C13</f>
        <v>50</v>
      </c>
      <c r="E13" s="31" t="n">
        <f aca="false">IFERROR(D13/ABS(C13),0)</f>
        <v>0.0769230769230769</v>
      </c>
      <c r="F13" s="31" t="n">
        <f aca="false">IFERROR(B13/Datos!B13,0)</f>
        <v>0.127272727272727</v>
      </c>
      <c r="G13" s="31" t="n">
        <f aca="false">IFERROR(C13/Datos!C13,0)</f>
        <v>0.129482071713147</v>
      </c>
      <c r="H13" s="32" t="str">
        <f aca="false">IF(ABS(E13)&gt;0.2,"Variación fuerte","")</f>
        <v/>
      </c>
    </row>
    <row r="14" customFormat="false" ht="15" hidden="false" customHeight="false" outlineLevel="0" collapsed="false">
      <c r="A14" s="10" t="s">
        <v>53</v>
      </c>
      <c r="B14" s="30" t="n">
        <f aca="false">Datos!B15</f>
        <v>900</v>
      </c>
      <c r="C14" s="30" t="n">
        <f aca="false">Datos!C15</f>
        <v>780</v>
      </c>
      <c r="D14" s="30" t="n">
        <f aca="false">B14-C14</f>
        <v>120</v>
      </c>
      <c r="E14" s="31" t="n">
        <f aca="false">IFERROR(D14/ABS(C14),0)</f>
        <v>0.153846153846154</v>
      </c>
      <c r="F14" s="31" t="n">
        <f aca="false">IFERROR(B14/Datos!B13,0)</f>
        <v>0.163636363636364</v>
      </c>
      <c r="G14" s="31" t="n">
        <f aca="false">IFERROR(C14/Datos!C13,0)</f>
        <v>0.155378486055777</v>
      </c>
      <c r="H14" s="32" t="str">
        <f aca="false">IF(ABS(E14)&gt;0.2,"Variación fuerte","")</f>
        <v/>
      </c>
    </row>
    <row r="15" customFormat="false" ht="15" hidden="false" customHeight="false" outlineLevel="0" collapsed="false">
      <c r="A15" s="10" t="s">
        <v>54</v>
      </c>
      <c r="B15" s="30" t="n">
        <f aca="false">Datos!B16</f>
        <v>300</v>
      </c>
      <c r="C15" s="30" t="n">
        <f aca="false">Datos!C16</f>
        <v>270</v>
      </c>
      <c r="D15" s="30" t="n">
        <f aca="false">B15-C15</f>
        <v>30</v>
      </c>
      <c r="E15" s="31" t="n">
        <f aca="false">IFERROR(D15/ABS(C15),0)</f>
        <v>0.111111111111111</v>
      </c>
      <c r="F15" s="31" t="n">
        <f aca="false">IFERROR(B15/Datos!B13,0)</f>
        <v>0.0545454545454545</v>
      </c>
      <c r="G15" s="31" t="n">
        <f aca="false">IFERROR(C15/Datos!C13,0)</f>
        <v>0.0537848605577689</v>
      </c>
      <c r="H15" s="32" t="str">
        <f aca="false">IF(ABS(E15)&gt;0.2,"Variación fuerte","")</f>
        <v/>
      </c>
    </row>
    <row r="16" customFormat="false" ht="15" hidden="false" customHeight="false" outlineLevel="0" collapsed="false">
      <c r="A16" s="13" t="s">
        <v>56</v>
      </c>
      <c r="B16" s="33" t="n">
        <f aca="false">Datos!B17</f>
        <v>1900</v>
      </c>
      <c r="C16" s="33" t="n">
        <f aca="false">Datos!C17</f>
        <v>1700</v>
      </c>
      <c r="D16" s="33" t="n">
        <f aca="false">B16-C16</f>
        <v>200</v>
      </c>
      <c r="E16" s="34" t="n">
        <f aca="false">IFERROR(D16/ABS(C16),0)</f>
        <v>0.117647058823529</v>
      </c>
      <c r="F16" s="34" t="n">
        <f aca="false">IFERROR(B16/Datos!B13,0)</f>
        <v>0.345454545454545</v>
      </c>
      <c r="G16" s="34" t="n">
        <f aca="false">IFERROR(C16/Datos!C13,0)</f>
        <v>0.338645418326693</v>
      </c>
      <c r="H16" s="35" t="str">
        <f aca="false">IF(ABS(E16)&gt;0.2,"Variación fuerte","")</f>
        <v/>
      </c>
    </row>
    <row r="17" customFormat="false" ht="15" hidden="false" customHeight="false" outlineLevel="0" collapsed="false">
      <c r="A17" s="10" t="s">
        <v>57</v>
      </c>
      <c r="B17" s="30" t="n">
        <f aca="false">Datos!B18</f>
        <v>1200</v>
      </c>
      <c r="C17" s="30" t="n">
        <f aca="false">Datos!C18</f>
        <v>1250</v>
      </c>
      <c r="D17" s="30" t="n">
        <f aca="false">B17-C17</f>
        <v>-50</v>
      </c>
      <c r="E17" s="31" t="n">
        <f aca="false">IFERROR(D17/ABS(C17),0)</f>
        <v>-0.04</v>
      </c>
      <c r="F17" s="31" t="n">
        <f aca="false">IFERROR(B17/Datos!B13,0)</f>
        <v>0.218181818181818</v>
      </c>
      <c r="G17" s="31" t="n">
        <f aca="false">IFERROR(C17/Datos!C13,0)</f>
        <v>0.249003984063745</v>
      </c>
      <c r="H17" s="32" t="str">
        <f aca="false">IF(ABS(E17)&gt;0.2,"Variación fuerte","")</f>
        <v/>
      </c>
    </row>
    <row r="18" customFormat="false" ht="15" hidden="false" customHeight="false" outlineLevel="0" collapsed="false">
      <c r="A18" s="13" t="s">
        <v>58</v>
      </c>
      <c r="B18" s="33" t="n">
        <f aca="false">Datos!B19</f>
        <v>3100</v>
      </c>
      <c r="C18" s="33" t="n">
        <f aca="false">Datos!C19</f>
        <v>2950</v>
      </c>
      <c r="D18" s="33" t="n">
        <f aca="false">B18-C18</f>
        <v>150</v>
      </c>
      <c r="E18" s="34" t="n">
        <f aca="false">IFERROR(D18/ABS(C18),0)</f>
        <v>0.0508474576271187</v>
      </c>
      <c r="F18" s="34" t="n">
        <f aca="false">IFERROR(B18/Datos!B13,0)</f>
        <v>0.563636363636364</v>
      </c>
      <c r="G18" s="34" t="n">
        <f aca="false">IFERROR(C18/Datos!C13,0)</f>
        <v>0.587649402390438</v>
      </c>
      <c r="H18" s="35" t="str">
        <f aca="false">IF(ABS(E18)&gt;0.2,"Variación fuerte","")</f>
        <v/>
      </c>
    </row>
    <row r="19" customFormat="false" ht="15" hidden="false" customHeight="false" outlineLevel="0" collapsed="false">
      <c r="A19" s="10" t="s">
        <v>59</v>
      </c>
      <c r="B19" s="30" t="n">
        <f aca="false">Datos!B20</f>
        <v>2400</v>
      </c>
      <c r="C19" s="30" t="n">
        <f aca="false">Datos!C20</f>
        <v>2070</v>
      </c>
      <c r="D19" s="30" t="n">
        <f aca="false">B19-C19</f>
        <v>330</v>
      </c>
      <c r="E19" s="31" t="n">
        <f aca="false">IFERROR(D19/ABS(C19),0)</f>
        <v>0.159420289855072</v>
      </c>
      <c r="F19" s="31" t="n">
        <f aca="false">IFERROR(B19/Datos!B13,0)</f>
        <v>0.436363636363636</v>
      </c>
      <c r="G19" s="31" t="n">
        <f aca="false">IFERROR(C19/Datos!C13,0)</f>
        <v>0.412350597609562</v>
      </c>
      <c r="H19" s="32" t="str">
        <f aca="false">IF(ABS(E19)&gt;0.2,"Variación fuerte","")</f>
        <v/>
      </c>
    </row>
    <row r="21" customFormat="false" ht="15" hidden="false" customHeight="false" outlineLevel="0" collapsed="false">
      <c r="A21" s="8" t="s">
        <v>210</v>
      </c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10" t="s">
        <v>63</v>
      </c>
      <c r="B22" s="30" t="n">
        <f aca="false">Datos!B24</f>
        <v>9800</v>
      </c>
      <c r="C22" s="30" t="n">
        <f aca="false">Datos!C24</f>
        <v>8900</v>
      </c>
      <c r="D22" s="30" t="n">
        <f aca="false">B22-C22</f>
        <v>900</v>
      </c>
      <c r="E22" s="31" t="n">
        <f aca="false">IFERROR(D22/ABS(C22),0)</f>
        <v>0.101123595505618</v>
      </c>
      <c r="F22" s="31" t="n">
        <f aca="false">IFERROR(B22/Datos!B24,0)</f>
        <v>1</v>
      </c>
      <c r="G22" s="31" t="n">
        <f aca="false">IFERROR(C22/Datos!C24,0)</f>
        <v>1</v>
      </c>
      <c r="H22" s="32" t="str">
        <f aca="false">IF(ABS(E22)&gt;0.2,"Variación fuerte","")</f>
        <v/>
      </c>
    </row>
    <row r="23" customFormat="false" ht="15" hidden="false" customHeight="false" outlineLevel="0" collapsed="false">
      <c r="A23" s="10" t="s">
        <v>64</v>
      </c>
      <c r="B23" s="30" t="n">
        <f aca="false">Datos!B25</f>
        <v>6350</v>
      </c>
      <c r="C23" s="30" t="n">
        <f aca="false">Datos!C25</f>
        <v>5870</v>
      </c>
      <c r="D23" s="30" t="n">
        <f aca="false">B23-C23</f>
        <v>480</v>
      </c>
      <c r="E23" s="31" t="n">
        <f aca="false">IFERROR(D23/ABS(C23),0)</f>
        <v>0.0817717206132879</v>
      </c>
      <c r="F23" s="31" t="n">
        <f aca="false">IFERROR(B23/Datos!B24,0)</f>
        <v>0.647959183673469</v>
      </c>
      <c r="G23" s="31" t="n">
        <f aca="false">IFERROR(C23/Datos!C24,0)</f>
        <v>0.659550561797753</v>
      </c>
      <c r="H23" s="32" t="str">
        <f aca="false">IF(ABS(E23)&gt;0.2,"Variación fuerte","")</f>
        <v/>
      </c>
    </row>
    <row r="24" customFormat="false" ht="15" hidden="false" customHeight="false" outlineLevel="0" collapsed="false">
      <c r="A24" s="13" t="s">
        <v>71</v>
      </c>
      <c r="B24" s="33" t="n">
        <f aca="false">Datos!B30</f>
        <v>3450</v>
      </c>
      <c r="C24" s="33" t="n">
        <f aca="false">Datos!C30</f>
        <v>3030</v>
      </c>
      <c r="D24" s="33" t="n">
        <f aca="false">B24-C24</f>
        <v>420</v>
      </c>
      <c r="E24" s="34" t="n">
        <f aca="false">IFERROR(D24/ABS(C24),0)</f>
        <v>0.138613861386139</v>
      </c>
      <c r="F24" s="34" t="n">
        <f aca="false">IFERROR(B24/Datos!B24,0)</f>
        <v>0.352040816326531</v>
      </c>
      <c r="G24" s="34" t="n">
        <f aca="false">IFERROR(C24/Datos!C24,0)</f>
        <v>0.340449438202247</v>
      </c>
      <c r="H24" s="35" t="str">
        <f aca="false">IF(ABS(E24)&gt;0.2,"Variación fuerte","")</f>
        <v/>
      </c>
    </row>
    <row r="25" customFormat="false" ht="15" hidden="false" customHeight="false" outlineLevel="0" collapsed="false">
      <c r="A25" s="10" t="s">
        <v>211</v>
      </c>
      <c r="B25" s="30" t="n">
        <f aca="false">Datos!B26</f>
        <v>1800</v>
      </c>
      <c r="C25" s="30" t="n">
        <f aca="false">Datos!C26</f>
        <v>1700</v>
      </c>
      <c r="D25" s="30" t="n">
        <f aca="false">B25-C25</f>
        <v>100</v>
      </c>
      <c r="E25" s="31" t="n">
        <f aca="false">IFERROR(D25/ABS(C25),0)</f>
        <v>0.0588235294117647</v>
      </c>
      <c r="F25" s="31" t="n">
        <f aca="false">IFERROR(B25/Datos!B24,0)</f>
        <v>0.183673469387755</v>
      </c>
      <c r="G25" s="31" t="n">
        <f aca="false">IFERROR(C25/Datos!C24,0)</f>
        <v>0.191011235955056</v>
      </c>
      <c r="H25" s="32" t="str">
        <f aca="false">IF(ABS(E25)&gt;0.2,"Variación fuerte","")</f>
        <v/>
      </c>
    </row>
    <row r="26" customFormat="false" ht="15" hidden="false" customHeight="false" outlineLevel="0" collapsed="false">
      <c r="A26" s="13" t="s">
        <v>72</v>
      </c>
      <c r="B26" s="33" t="n">
        <f aca="false">Datos!B31</f>
        <v>1650</v>
      </c>
      <c r="C26" s="33" t="n">
        <f aca="false">Datos!C31</f>
        <v>1330</v>
      </c>
      <c r="D26" s="33" t="n">
        <f aca="false">B26-C26</f>
        <v>320</v>
      </c>
      <c r="E26" s="34" t="n">
        <f aca="false">IFERROR(D26/ABS(C26),0)</f>
        <v>0.240601503759398</v>
      </c>
      <c r="F26" s="34" t="n">
        <f aca="false">IFERROR(B26/Datos!B24,0)</f>
        <v>0.168367346938776</v>
      </c>
      <c r="G26" s="34" t="n">
        <f aca="false">IFERROR(C26/Datos!C24,0)</f>
        <v>0.149438202247191</v>
      </c>
      <c r="H26" s="35" t="str">
        <f aca="false">IF(ABS(E26)&gt;0.2,"Variación fuerte","")</f>
        <v>Variación fuerte</v>
      </c>
    </row>
    <row r="27" customFormat="false" ht="15" hidden="false" customHeight="false" outlineLevel="0" collapsed="false">
      <c r="A27" s="10" t="s">
        <v>67</v>
      </c>
      <c r="B27" s="30" t="n">
        <f aca="false">Datos!B27</f>
        <v>220</v>
      </c>
      <c r="C27" s="30" t="n">
        <f aca="false">Datos!C27</f>
        <v>210</v>
      </c>
      <c r="D27" s="30" t="n">
        <f aca="false">B27-C27</f>
        <v>10</v>
      </c>
      <c r="E27" s="31" t="n">
        <f aca="false">IFERROR(D27/ABS(C27),0)</f>
        <v>0.0476190476190476</v>
      </c>
      <c r="F27" s="31" t="n">
        <f aca="false">IFERROR(B27/Datos!B24,0)</f>
        <v>0.0224489795918367</v>
      </c>
      <c r="G27" s="31" t="n">
        <f aca="false">IFERROR(C27/Datos!C24,0)</f>
        <v>0.0235955056179775</v>
      </c>
      <c r="H27" s="32" t="str">
        <f aca="false">IF(ABS(E27)&gt;0.2,"Variación fuerte","")</f>
        <v/>
      </c>
    </row>
    <row r="28" customFormat="false" ht="15" hidden="false" customHeight="false" outlineLevel="0" collapsed="false">
      <c r="A28" s="13" t="s">
        <v>73</v>
      </c>
      <c r="B28" s="33" t="n">
        <f aca="false">Datos!B32</f>
        <v>1430</v>
      </c>
      <c r="C28" s="33" t="n">
        <f aca="false">Datos!C32</f>
        <v>1120</v>
      </c>
      <c r="D28" s="33" t="n">
        <f aca="false">B28-C28</f>
        <v>310</v>
      </c>
      <c r="E28" s="34" t="n">
        <f aca="false">IFERROR(D28/ABS(C28),0)</f>
        <v>0.276785714285714</v>
      </c>
      <c r="F28" s="34" t="n">
        <f aca="false">IFERROR(B28/Datos!B24,0)</f>
        <v>0.145918367346939</v>
      </c>
      <c r="G28" s="34" t="n">
        <f aca="false">IFERROR(C28/Datos!C24,0)</f>
        <v>0.125842696629214</v>
      </c>
      <c r="H28" s="35" t="str">
        <f aca="false">IF(ABS(E28)&gt;0.2,"Variación fuerte","")</f>
        <v>Variación fuerte</v>
      </c>
    </row>
    <row r="29" customFormat="false" ht="15" hidden="false" customHeight="false" outlineLevel="0" collapsed="false">
      <c r="A29" s="10" t="s">
        <v>68</v>
      </c>
      <c r="B29" s="30" t="n">
        <f aca="false">Datos!B28</f>
        <v>190</v>
      </c>
      <c r="C29" s="30" t="n">
        <f aca="false">Datos!C28</f>
        <v>180</v>
      </c>
      <c r="D29" s="30" t="n">
        <f aca="false">B29-C29</f>
        <v>10</v>
      </c>
      <c r="E29" s="31" t="n">
        <f aca="false">IFERROR(D29/ABS(C29),0)</f>
        <v>0.0555555555555556</v>
      </c>
      <c r="F29" s="31" t="n">
        <f aca="false">IFERROR(B29/Datos!B24,0)</f>
        <v>0.0193877551020408</v>
      </c>
      <c r="G29" s="31" t="n">
        <f aca="false">IFERROR(C29/Datos!C24,0)</f>
        <v>0.0202247191011236</v>
      </c>
      <c r="H29" s="32" t="str">
        <f aca="false">IF(ABS(E29)&gt;0.2,"Variación fuerte","")</f>
        <v/>
      </c>
    </row>
    <row r="30" customFormat="false" ht="15" hidden="false" customHeight="false" outlineLevel="0" collapsed="false">
      <c r="A30" s="10" t="s">
        <v>70</v>
      </c>
      <c r="B30" s="30" t="n">
        <f aca="false">Datos!B29</f>
        <v>330</v>
      </c>
      <c r="C30" s="30" t="n">
        <f aca="false">Datos!C29</f>
        <v>280</v>
      </c>
      <c r="D30" s="30" t="n">
        <f aca="false">B30-C30</f>
        <v>50</v>
      </c>
      <c r="E30" s="31" t="n">
        <f aca="false">IFERROR(D30/ABS(C30),0)</f>
        <v>0.178571428571429</v>
      </c>
      <c r="F30" s="31" t="n">
        <f aca="false">IFERROR(B30/Datos!B24,0)</f>
        <v>0.0336734693877551</v>
      </c>
      <c r="G30" s="31" t="n">
        <f aca="false">IFERROR(C30/Datos!C24,0)</f>
        <v>0.0314606741573034</v>
      </c>
      <c r="H30" s="32" t="str">
        <f aca="false">IF(ABS(E30)&gt;0.2,"Variación fuerte","")</f>
        <v/>
      </c>
    </row>
    <row r="31" customFormat="false" ht="15" hidden="false" customHeight="false" outlineLevel="0" collapsed="false">
      <c r="A31" s="13" t="s">
        <v>74</v>
      </c>
      <c r="B31" s="33" t="n">
        <f aca="false">Datos!B33</f>
        <v>910</v>
      </c>
      <c r="C31" s="33" t="n">
        <f aca="false">Datos!C33</f>
        <v>660</v>
      </c>
      <c r="D31" s="33" t="n">
        <f aca="false">B31-C31</f>
        <v>250</v>
      </c>
      <c r="E31" s="34" t="n">
        <f aca="false">IFERROR(D31/ABS(C31),0)</f>
        <v>0.378787878787879</v>
      </c>
      <c r="F31" s="34" t="n">
        <f aca="false">IFERROR(B31/Datos!B24,0)</f>
        <v>0.0928571428571429</v>
      </c>
      <c r="G31" s="34" t="n">
        <f aca="false">IFERROR(C31/Datos!C24,0)</f>
        <v>0.0741573033707865</v>
      </c>
      <c r="H31" s="35" t="str">
        <f aca="false">IF(ABS(E31)&gt;0.2,"Variación fuerte","")</f>
        <v>Variación fuerte</v>
      </c>
    </row>
    <row r="33" customFormat="false" ht="15" hidden="false" customHeight="false" outlineLevel="0" collapsed="false">
      <c r="A33" s="8" t="s">
        <v>212</v>
      </c>
      <c r="B33" s="9"/>
      <c r="C33" s="9"/>
      <c r="D33" s="9"/>
      <c r="E33" s="9"/>
      <c r="F33" s="9"/>
      <c r="G33" s="9"/>
      <c r="H33" s="9"/>
    </row>
    <row r="34" customFormat="false" ht="15" hidden="false" customHeight="false" outlineLevel="0" collapsed="false">
      <c r="A34" s="10" t="s">
        <v>76</v>
      </c>
      <c r="B34" s="30" t="n">
        <f aca="false">Datos!B36</f>
        <v>610</v>
      </c>
      <c r="C34" s="30" t="n">
        <f aca="false">Datos!C36</f>
        <v>540</v>
      </c>
      <c r="D34" s="30" t="n">
        <f aca="false">B34-C34</f>
        <v>70</v>
      </c>
      <c r="E34" s="31" t="n">
        <f aca="false">IFERROR(D34/ABS(C34),0)</f>
        <v>0.12962962962963</v>
      </c>
      <c r="F34" s="31" t="n">
        <f aca="false">IFERROR(B34/Datos!B24,0)</f>
        <v>0.0622448979591837</v>
      </c>
      <c r="G34" s="31" t="n">
        <f aca="false">IFERROR(C34/Datos!C24,0)</f>
        <v>0.0606741573033708</v>
      </c>
      <c r="H34" s="32" t="str">
        <f aca="false">IF(ABS(E34)&gt;0.2,"Variación fuerte","")</f>
        <v/>
      </c>
    </row>
    <row r="35" customFormat="false" ht="15" hidden="false" customHeight="false" outlineLevel="0" collapsed="false">
      <c r="A35" s="10" t="s">
        <v>78</v>
      </c>
      <c r="B35" s="30" t="n">
        <f aca="false">Datos!B37</f>
        <v>300</v>
      </c>
      <c r="C35" s="30" t="n">
        <f aca="false">Datos!C37</f>
        <v>260</v>
      </c>
      <c r="D35" s="30" t="n">
        <f aca="false">B35-C35</f>
        <v>40</v>
      </c>
      <c r="E35" s="31" t="n">
        <f aca="false">IFERROR(D35/ABS(C35),0)</f>
        <v>0.153846153846154</v>
      </c>
      <c r="F35" s="31" t="n">
        <f aca="false">IFERROR(B35/Datos!B24,0)</f>
        <v>0.0306122448979592</v>
      </c>
      <c r="G35" s="31" t="n">
        <f aca="false">IFERROR(C35/Datos!C24,0)</f>
        <v>0.0292134831460674</v>
      </c>
      <c r="H35" s="32" t="str">
        <f aca="false">IF(ABS(E35)&gt;0.2,"Variación fuerte","")</f>
        <v/>
      </c>
    </row>
    <row r="36" customFormat="false" ht="15" hidden="false" customHeight="false" outlineLevel="0" collapsed="false">
      <c r="A36" s="13" t="s">
        <v>79</v>
      </c>
      <c r="B36" s="33" t="n">
        <f aca="false">Datos!B38</f>
        <v>310</v>
      </c>
      <c r="C36" s="33" t="n">
        <f aca="false">Datos!C38</f>
        <v>280</v>
      </c>
      <c r="D36" s="33" t="n">
        <f aca="false">B36-C36</f>
        <v>30</v>
      </c>
      <c r="E36" s="34" t="n">
        <f aca="false">IFERROR(D36/ABS(C36),0)</f>
        <v>0.107142857142857</v>
      </c>
      <c r="F36" s="34" t="n">
        <f aca="false">IFERROR(B36/Datos!B24,0)</f>
        <v>0.0316326530612245</v>
      </c>
      <c r="G36" s="34" t="n">
        <f aca="false">IFERROR(C36/Datos!C24,0)</f>
        <v>0.0314606741573034</v>
      </c>
      <c r="H36" s="35" t="str">
        <f aca="false">IF(ABS(E36)&gt;0.2,"Variación fuerte","")</f>
        <v/>
      </c>
    </row>
    <row r="38" customFormat="false" ht="15" hidden="false" customHeight="false" outlineLevel="0" collapsed="false">
      <c r="A38" s="29" t="s">
        <v>213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8"/>
    <col collapsed="false" customWidth="true" hidden="false" outlineLevel="0" max="4" min="4" style="0" width="86"/>
  </cols>
  <sheetData>
    <row r="1" customFormat="false" ht="33.75" hidden="false" customHeight="true" outlineLevel="0" collapsed="false">
      <c r="A1" s="1" t="s">
        <v>214</v>
      </c>
      <c r="B1" s="1"/>
      <c r="C1" s="1"/>
      <c r="D1" s="1"/>
    </row>
    <row r="2" customFormat="false" ht="15" hidden="false" customHeight="false" outlineLevel="0" collapsed="false">
      <c r="A2" s="2" t="s">
        <v>215</v>
      </c>
      <c r="B2" s="2"/>
      <c r="C2" s="2"/>
      <c r="D2" s="2"/>
    </row>
    <row r="4" customFormat="false" ht="30" hidden="false" customHeight="true" outlineLevel="0" collapsed="false">
      <c r="A4" s="7" t="s">
        <v>39</v>
      </c>
      <c r="B4" s="7" t="s">
        <v>127</v>
      </c>
      <c r="C4" s="7" t="s">
        <v>128</v>
      </c>
      <c r="D4" s="7" t="s">
        <v>216</v>
      </c>
    </row>
    <row r="5" customFormat="false" ht="15" hidden="false" customHeight="false" outlineLevel="0" collapsed="false">
      <c r="A5" s="8" t="s">
        <v>217</v>
      </c>
      <c r="B5" s="9"/>
      <c r="C5" s="9"/>
      <c r="D5" s="9"/>
    </row>
    <row r="6" customFormat="false" ht="15" hidden="false" customHeight="false" outlineLevel="0" collapsed="false">
      <c r="A6" s="13" t="s">
        <v>218</v>
      </c>
      <c r="B6" s="36" t="n">
        <f aca="false">Datos!B8+Datos!B9-Datos!B15</f>
        <v>1430</v>
      </c>
      <c r="C6" s="36" t="n">
        <f aca="false">Datos!C8+Datos!C9-Datos!C15</f>
        <v>1230</v>
      </c>
      <c r="D6" s="19" t="s">
        <v>219</v>
      </c>
    </row>
    <row r="7" customFormat="false" ht="15" hidden="false" customHeight="false" outlineLevel="0" collapsed="false">
      <c r="A7" s="10" t="s">
        <v>220</v>
      </c>
      <c r="B7" s="37" t="n">
        <f aca="false">Datos!B24*365/Datos!B40</f>
        <v>9800</v>
      </c>
      <c r="C7" s="37" t="n">
        <f aca="false">Datos!C24*365/Datos!C40</f>
        <v>8900</v>
      </c>
      <c r="D7" s="19" t="s">
        <v>221</v>
      </c>
    </row>
    <row r="8" customFormat="false" ht="15" hidden="false" customHeight="false" outlineLevel="0" collapsed="false">
      <c r="A8" s="10" t="s">
        <v>222</v>
      </c>
      <c r="B8" s="38" t="n">
        <f aca="false">IFERROR(B6/B7,0)</f>
        <v>0.145918367346939</v>
      </c>
      <c r="C8" s="38" t="n">
        <f aca="false">IFERROR(C6/C7,0)</f>
        <v>0.138202247191011</v>
      </c>
      <c r="D8" s="19" t="s">
        <v>223</v>
      </c>
    </row>
    <row r="9" customFormat="false" ht="15" hidden="false" customHeight="false" outlineLevel="0" collapsed="false">
      <c r="A9" s="10" t="s">
        <v>224</v>
      </c>
      <c r="B9" s="39" t="n">
        <f aca="false">B8*365</f>
        <v>53.2602040816327</v>
      </c>
      <c r="C9" s="39" t="n">
        <f aca="false">C8*365</f>
        <v>50.4438202247191</v>
      </c>
      <c r="D9" s="19" t="s">
        <v>225</v>
      </c>
    </row>
    <row r="10" customFormat="false" ht="15" hidden="false" customHeight="false" outlineLevel="0" collapsed="false">
      <c r="A10" s="10" t="s">
        <v>226</v>
      </c>
      <c r="B10" s="40" t="n">
        <f aca="false">IFERROR((B6-C6)/(B7-C7),0)</f>
        <v>0.222222222222222</v>
      </c>
      <c r="D10" s="19" t="s">
        <v>227</v>
      </c>
    </row>
    <row r="12" customFormat="false" ht="15" hidden="false" customHeight="false" outlineLevel="0" collapsed="false">
      <c r="A12" s="8" t="s">
        <v>228</v>
      </c>
      <c r="B12" s="9"/>
      <c r="C12" s="9"/>
      <c r="D12" s="9"/>
    </row>
    <row r="13" customFormat="false" ht="15" hidden="false" customHeight="false" outlineLevel="0" collapsed="false">
      <c r="A13" s="10" t="s">
        <v>167</v>
      </c>
      <c r="B13" s="38" t="n">
        <f aca="false">IFERROR(Datos!B33/Datos!B24,0)</f>
        <v>0.0928571428571429</v>
      </c>
      <c r="C13" s="38" t="n">
        <f aca="false">IFERROR(Datos!C33/Datos!C24,0)</f>
        <v>0.0741573033707865</v>
      </c>
      <c r="D13" s="19" t="s">
        <v>229</v>
      </c>
    </row>
    <row r="14" customFormat="false" ht="15" hidden="false" customHeight="false" outlineLevel="0" collapsed="false">
      <c r="A14" s="10" t="s">
        <v>230</v>
      </c>
      <c r="B14" s="41" t="n">
        <f aca="false">IFERROR(B7/Datos!B13,0)</f>
        <v>1.78181818181818</v>
      </c>
      <c r="C14" s="41" t="n">
        <f aca="false">IFERROR(C7/Datos!C13,0)</f>
        <v>1.77290836653386</v>
      </c>
      <c r="D14" s="19" t="s">
        <v>231</v>
      </c>
    </row>
    <row r="15" customFormat="false" ht="15" hidden="false" customHeight="false" outlineLevel="0" collapsed="false">
      <c r="A15" s="10" t="s">
        <v>232</v>
      </c>
      <c r="B15" s="41" t="n">
        <f aca="false">IFERROR(Datos!B13/Datos!B20,0)</f>
        <v>2.29166666666667</v>
      </c>
      <c r="C15" s="41" t="n">
        <f aca="false">IFERROR(Datos!C13/Datos!C20,0)</f>
        <v>2.42512077294686</v>
      </c>
      <c r="D15" s="19" t="s">
        <v>233</v>
      </c>
    </row>
    <row r="16" customFormat="false" ht="15" hidden="false" customHeight="false" outlineLevel="0" collapsed="false">
      <c r="A16" s="13" t="s">
        <v>234</v>
      </c>
      <c r="B16" s="42" t="n">
        <f aca="false">B13*B14*B15</f>
        <v>0.379166666666667</v>
      </c>
      <c r="C16" s="42" t="n">
        <f aca="false">C13*C14*C15</f>
        <v>0.318840579710145</v>
      </c>
      <c r="D16" s="19" t="s">
        <v>235</v>
      </c>
    </row>
    <row r="18" customFormat="false" ht="15" hidden="false" customHeight="false" outlineLevel="0" collapsed="false">
      <c r="A18" s="8" t="s">
        <v>236</v>
      </c>
      <c r="B18" s="9"/>
      <c r="C18" s="9"/>
      <c r="D18" s="9"/>
    </row>
    <row r="19" customFormat="false" ht="15" hidden="false" customHeight="false" outlineLevel="0" collapsed="false">
      <c r="A19" s="10" t="s">
        <v>237</v>
      </c>
      <c r="B19" s="37" t="n">
        <f aca="false">Datos!B31</f>
        <v>1650</v>
      </c>
      <c r="C19" s="37" t="n">
        <f aca="false">Datos!C31</f>
        <v>1330</v>
      </c>
      <c r="D19" s="19"/>
    </row>
    <row r="20" customFormat="false" ht="15" hidden="false" customHeight="false" outlineLevel="0" collapsed="false">
      <c r="A20" s="10" t="s">
        <v>238</v>
      </c>
      <c r="B20" s="37" t="n">
        <f aca="false">Datos!B44</f>
        <v>0</v>
      </c>
      <c r="C20" s="37" t="n">
        <f aca="false">Datos!C44</f>
        <v>0</v>
      </c>
      <c r="D20" s="19" t="s">
        <v>239</v>
      </c>
    </row>
    <row r="21" customFormat="false" ht="15" hidden="false" customHeight="false" outlineLevel="0" collapsed="false">
      <c r="A21" s="10" t="s">
        <v>240</v>
      </c>
      <c r="B21" s="37" t="n">
        <f aca="false">Datos!B45</f>
        <v>0</v>
      </c>
      <c r="C21" s="37" t="n">
        <f aca="false">Datos!C45</f>
        <v>0</v>
      </c>
      <c r="D21" s="19" t="s">
        <v>241</v>
      </c>
    </row>
    <row r="22" customFormat="false" ht="15" hidden="false" customHeight="false" outlineLevel="0" collapsed="false">
      <c r="A22" s="13" t="s">
        <v>242</v>
      </c>
      <c r="B22" s="36" t="n">
        <f aca="false">B19+B20-B21</f>
        <v>1650</v>
      </c>
      <c r="C22" s="36" t="n">
        <f aca="false">C19+C20-C21</f>
        <v>1330</v>
      </c>
      <c r="D22" s="19" t="s">
        <v>243</v>
      </c>
    </row>
    <row r="23" customFormat="false" ht="15" hidden="false" customHeight="false" outlineLevel="0" collapsed="false">
      <c r="A23" s="10" t="s">
        <v>244</v>
      </c>
      <c r="B23" s="38" t="n">
        <f aca="false">IFERROR(B22/Datos!B24,0)</f>
        <v>0.168367346938776</v>
      </c>
      <c r="C23" s="38" t="n">
        <f aca="false">IFERROR(C22/Datos!C24,0)</f>
        <v>0.149438202247191</v>
      </c>
      <c r="D23" s="19"/>
    </row>
    <row r="25" customFormat="false" ht="15" hidden="false" customHeight="false" outlineLevel="0" collapsed="false">
      <c r="A25" s="8" t="s">
        <v>245</v>
      </c>
      <c r="B25" s="9"/>
      <c r="C25" s="9"/>
      <c r="D25" s="9"/>
    </row>
    <row r="26" customFormat="false" ht="27.75" hidden="false" customHeight="true" outlineLevel="0" collapsed="false">
      <c r="A26" s="10" t="s">
        <v>246</v>
      </c>
      <c r="B26" s="37" t="n">
        <f aca="false">IF(Datos!B40&gt;=365,Datos!B24,IF(Datos!B47="","n/d",Datos!B47+Datos!B24-Datos!C24))</f>
        <v>9800</v>
      </c>
      <c r="C26" s="37" t="n">
        <f aca="false">IF(Datos!B47="","n/d",Datos!B47)</f>
        <v>9300</v>
      </c>
      <c r="D26" s="19" t="s">
        <v>247</v>
      </c>
    </row>
    <row r="27" customFormat="false" ht="15" hidden="false" customHeight="false" outlineLevel="0" collapsed="false">
      <c r="A27" s="13" t="s">
        <v>72</v>
      </c>
      <c r="B27" s="36" t="n">
        <f aca="false">IF(Datos!B40&gt;=365,Datos!B31,IF(OR(Datos!B47="",Datos!B48="",Datos!B49=""),"n/d",(Datos!B47-Datos!B48-Datos!B49)+Datos!B31-Datos!C31))</f>
        <v>1650</v>
      </c>
      <c r="C27" s="36" t="n">
        <f aca="false">IF(OR(Datos!B47="",Datos!B48="",Datos!B49=""),"n/d",Datos!B47-Datos!B48-Datos!B49)</f>
        <v>1660</v>
      </c>
      <c r="D27" s="19" t="s">
        <v>248</v>
      </c>
    </row>
    <row r="28" customFormat="false" ht="15" hidden="false" customHeight="false" outlineLevel="0" collapsed="false">
      <c r="A28" s="10" t="s">
        <v>76</v>
      </c>
      <c r="B28" s="37" t="n">
        <f aca="false">IF(Datos!B40&gt;=365,Datos!B36,IF(Datos!B51="","n/d",Datos!B51+Datos!B36-Datos!C36))</f>
        <v>610</v>
      </c>
      <c r="C28" s="37" t="n">
        <f aca="false">IF(Datos!B51="","n/d",Datos!B51)</f>
        <v>640</v>
      </c>
      <c r="D28" s="19"/>
    </row>
    <row r="29" customFormat="false" ht="15" hidden="false" customHeight="false" outlineLevel="0" collapsed="false">
      <c r="A29" s="10" t="s">
        <v>74</v>
      </c>
      <c r="B29" s="37" t="n">
        <f aca="false">IF(Datos!B40&gt;=365,Datos!B33,IF(Datos!B52="","n/d",Datos!B52+Datos!B33-Datos!C33))</f>
        <v>910</v>
      </c>
      <c r="C29" s="37" t="n">
        <f aca="false">IF(Datos!B52="","n/d",Datos!B52)</f>
        <v>660</v>
      </c>
      <c r="D29" s="19"/>
    </row>
    <row r="30" customFormat="false" ht="15" hidden="false" customHeight="false" outlineLevel="0" collapsed="false">
      <c r="A30" s="10" t="s">
        <v>249</v>
      </c>
      <c r="B30" s="38" t="n">
        <f aca="false">IFERROR(B27/B26,"n/d")</f>
        <v>0.168367346938776</v>
      </c>
      <c r="C30" s="38" t="n">
        <f aca="false">IFERROR(C27/C26,"n/d")</f>
        <v>0.178494623655914</v>
      </c>
      <c r="D30" s="19"/>
    </row>
    <row r="32" customFormat="false" ht="15" hidden="false" customHeight="false" outlineLevel="0" collapsed="false">
      <c r="A32" s="8" t="s">
        <v>250</v>
      </c>
      <c r="B32" s="9"/>
      <c r="C32" s="9"/>
      <c r="D32" s="9"/>
    </row>
    <row r="33" customFormat="false" ht="15" hidden="false" customHeight="false" outlineLevel="0" collapsed="false">
      <c r="A33" s="10" t="s">
        <v>251</v>
      </c>
      <c r="B33" s="37" t="n">
        <f aca="false">Datos!B14</f>
        <v>700</v>
      </c>
      <c r="C33" s="37" t="n">
        <f aca="false">Datos!C14</f>
        <v>650</v>
      </c>
      <c r="D33" s="19"/>
    </row>
    <row r="34" customFormat="false" ht="15" hidden="false" customHeight="false" outlineLevel="0" collapsed="false">
      <c r="A34" s="10" t="s">
        <v>252</v>
      </c>
      <c r="B34" s="37" t="n">
        <f aca="false">Datos!B43</f>
        <v>1200</v>
      </c>
      <c r="C34" s="37" t="n">
        <f aca="false">Datos!C43</f>
        <v>1250</v>
      </c>
      <c r="D34" s="19"/>
    </row>
    <row r="35" customFormat="false" ht="15" hidden="false" customHeight="false" outlineLevel="0" collapsed="false">
      <c r="A35" s="13" t="s">
        <v>253</v>
      </c>
      <c r="B35" s="36" t="n">
        <f aca="false">B33+B34</f>
        <v>1900</v>
      </c>
      <c r="C35" s="36" t="n">
        <f aca="false">C33+C34</f>
        <v>1900</v>
      </c>
      <c r="D35" s="19"/>
    </row>
    <row r="36" customFormat="false" ht="15" hidden="false" customHeight="false" outlineLevel="0" collapsed="false">
      <c r="A36" s="10" t="s">
        <v>254</v>
      </c>
      <c r="B36" s="37" t="n">
        <f aca="false">B35-Datos!B7</f>
        <v>1480</v>
      </c>
      <c r="C36" s="37" t="n">
        <f aca="false">C35-Datos!C7</f>
        <v>1520</v>
      </c>
      <c r="D36" s="19"/>
    </row>
    <row r="37" customFormat="false" ht="27.75" hidden="false" customHeight="true" outlineLevel="0" collapsed="false">
      <c r="A37" s="13" t="s">
        <v>255</v>
      </c>
      <c r="B37" s="43" t="n">
        <f aca="false">IFERROR(B36/B27,"n/d")</f>
        <v>0.896969696969697</v>
      </c>
      <c r="C37" s="43" t="n">
        <f aca="false">IFERROR(C36/C27,"n/d")</f>
        <v>0.91566265060241</v>
      </c>
      <c r="D37" s="19" t="s">
        <v>256</v>
      </c>
    </row>
    <row r="38" customFormat="false" ht="15" hidden="false" customHeight="false" outlineLevel="0" collapsed="false">
      <c r="A38" s="10" t="s">
        <v>257</v>
      </c>
      <c r="B38" s="41" t="n">
        <f aca="false">IFERROR(B35/B27,"n/d")</f>
        <v>1.15151515151515</v>
      </c>
      <c r="C38" s="41" t="n">
        <f aca="false">IFERROR(C35/C27,"n/d")</f>
        <v>1.14457831325301</v>
      </c>
      <c r="D38" s="19"/>
    </row>
    <row r="39" customFormat="false" ht="15" hidden="false" customHeight="false" outlineLevel="0" collapsed="false">
      <c r="A39" s="10" t="s">
        <v>258</v>
      </c>
      <c r="B39" s="41" t="n">
        <f aca="false">IFERROR(Datos!B36/Datos!B39,"n/d")</f>
        <v>1.45238095238095</v>
      </c>
      <c r="C39" s="41" t="n">
        <f aca="false">IFERROR(Datos!C36/Datos!C39,"n/d")</f>
        <v>1.35</v>
      </c>
      <c r="D39" s="19" t="s">
        <v>259</v>
      </c>
    </row>
    <row r="40" customFormat="false" ht="15" hidden="false" customHeight="false" outlineLevel="0" collapsed="false">
      <c r="A40" s="10" t="s">
        <v>260</v>
      </c>
      <c r="B40" s="38" t="n">
        <f aca="false">IFERROR(Datos!B28*365/Datos!B40/AVERAGE(B35,C35),"n/d")</f>
        <v>0.1</v>
      </c>
      <c r="D40" s="19" t="s">
        <v>261</v>
      </c>
    </row>
    <row r="41" customFormat="false" ht="15" hidden="false" customHeight="false" outlineLevel="0" collapsed="false">
      <c r="A41" s="10" t="s">
        <v>262</v>
      </c>
      <c r="B41" s="38" t="n">
        <f aca="false">IFERROR(B33/B35,0)</f>
        <v>0.368421052631579</v>
      </c>
      <c r="C41" s="38" t="n">
        <f aca="false">IFERROR(C33/C35,0)</f>
        <v>0.342105263157895</v>
      </c>
      <c r="D41" s="19" t="s">
        <v>263</v>
      </c>
    </row>
    <row r="42" customFormat="false" ht="15" hidden="false" customHeight="false" outlineLevel="0" collapsed="false">
      <c r="A42" s="10" t="s">
        <v>264</v>
      </c>
      <c r="B42" s="38" t="n">
        <f aca="false">IFERROR(Datos!B19/Datos!B13,0)</f>
        <v>0.563636363636364</v>
      </c>
      <c r="C42" s="38" t="n">
        <f aca="false">IFERROR(Datos!C19/Datos!C13,0)</f>
        <v>0.587649402390438</v>
      </c>
      <c r="D42" s="19"/>
    </row>
    <row r="44" customFormat="false" ht="15" hidden="false" customHeight="false" outlineLevel="0" collapsed="false">
      <c r="A44" s="8" t="s">
        <v>265</v>
      </c>
      <c r="B44" s="9"/>
      <c r="C44" s="9"/>
      <c r="D44" s="9"/>
    </row>
    <row r="45" customFormat="false" ht="15" hidden="false" customHeight="false" outlineLevel="0" collapsed="false">
      <c r="A45" s="44" t="s">
        <v>266</v>
      </c>
      <c r="B45" s="44" t="s">
        <v>127</v>
      </c>
      <c r="C45" s="44" t="s">
        <v>267</v>
      </c>
      <c r="D45" s="44" t="s">
        <v>268</v>
      </c>
    </row>
    <row r="46" customFormat="false" ht="15" hidden="false" customHeight="false" outlineLevel="0" collapsed="false">
      <c r="A46" s="10" t="s">
        <v>269</v>
      </c>
      <c r="B46" s="28" t="n">
        <f aca="false">B42</f>
        <v>0.563636363636364</v>
      </c>
      <c r="C46" s="28" t="n">
        <f aca="false">IF(Datos!B54="","",Datos!B54)</f>
        <v>0.65</v>
      </c>
      <c r="D46" s="13" t="str">
        <f aca="false">IF(OR(C46="",NOT(ISNUMBER(B46))),"Sin dato",IF(B46&lt;=C46,"Cumple · holgura "&amp;TEXT(C46-B46,"0.0%"),"INCUMPLE"))</f>
        <v>Cumple · holgura 8.6%</v>
      </c>
    </row>
    <row r="47" customFormat="false" ht="15" hidden="false" customHeight="false" outlineLevel="0" collapsed="false">
      <c r="A47" s="10" t="s">
        <v>270</v>
      </c>
      <c r="B47" s="20" t="n">
        <f aca="false">B37</f>
        <v>0.896969696969697</v>
      </c>
      <c r="C47" s="20" t="n">
        <f aca="false">IF(Datos!B56="","",Datos!B56)</f>
        <v>3</v>
      </c>
      <c r="D47" s="13" t="str">
        <f aca="false">IF(OR(C47="",NOT(ISNUMBER(B47))),"Sin dato",IF(B47&lt;=C47,"Cumple · holgura "&amp;TEXT(C47-B47,"0.00"),"INCUMPLE"))</f>
        <v>Cumple · holgura 2.10</v>
      </c>
    </row>
    <row r="48" customFormat="false" ht="15" hidden="false" customHeight="false" outlineLevel="0" collapsed="false">
      <c r="A48" s="10" t="s">
        <v>271</v>
      </c>
      <c r="B48" s="20" t="n">
        <f aca="false">B39</f>
        <v>1.45238095238095</v>
      </c>
      <c r="C48" s="20" t="n">
        <f aca="false">IF(Datos!B55="","",Datos!B55)</f>
        <v>1.2</v>
      </c>
      <c r="D48" s="13" t="str">
        <f aca="false">IF(OR(C48="",NOT(ISNUMBER(B48))),"Sin dato",IF(B48&gt;=C48,"Cumple · holgura "&amp;TEXT(B48-C48,"0.00"),"INCUMPLE"))</f>
        <v>Cumple · holgura 0.25</v>
      </c>
    </row>
    <row r="50" customFormat="false" ht="15" hidden="false" customHeight="false" outlineLevel="0" collapsed="false">
      <c r="A50" s="8" t="s">
        <v>272</v>
      </c>
      <c r="B50" s="9"/>
      <c r="C50" s="9"/>
      <c r="D50" s="9"/>
    </row>
    <row r="51" customFormat="false" ht="15" hidden="false" customHeight="false" outlineLevel="0" collapsed="false">
      <c r="A51" s="44" t="s">
        <v>273</v>
      </c>
      <c r="B51" s="44" t="s">
        <v>274</v>
      </c>
      <c r="C51" s="44" t="s">
        <v>275</v>
      </c>
      <c r="D51" s="44" t="s">
        <v>276</v>
      </c>
    </row>
    <row r="52" customFormat="false" ht="15" hidden="false" customHeight="false" outlineLevel="0" collapsed="false">
      <c r="A52" s="10" t="s">
        <v>277</v>
      </c>
      <c r="B52" s="25" t="n">
        <f aca="false">IF(Datos!B57="",0,Datos!B57)</f>
        <v>700</v>
      </c>
      <c r="C52" s="28" t="n">
        <f aca="false">IFERROR(B52/B56,0)</f>
        <v>0.368421052631579</v>
      </c>
      <c r="D52" s="15" t="str">
        <f aca="false">IF(C52&gt;0.5,"Concentración alta en el año 1: riesgo de refinanciación","")</f>
        <v/>
      </c>
    </row>
    <row r="53" customFormat="false" ht="15" hidden="false" customHeight="false" outlineLevel="0" collapsed="false">
      <c r="A53" s="10" t="s">
        <v>278</v>
      </c>
      <c r="B53" s="25" t="n">
        <f aca="false">IF(Datos!B58="",0,Datos!B58)</f>
        <v>400</v>
      </c>
      <c r="C53" s="28" t="n">
        <f aca="false">IFERROR(B53/B56,0)</f>
        <v>0.210526315789474</v>
      </c>
    </row>
    <row r="54" customFormat="false" ht="15" hidden="false" customHeight="false" outlineLevel="0" collapsed="false">
      <c r="A54" s="10" t="s">
        <v>279</v>
      </c>
      <c r="B54" s="25" t="n">
        <f aca="false">IF(Datos!B59="",0,Datos!B59)</f>
        <v>400</v>
      </c>
      <c r="C54" s="28" t="n">
        <f aca="false">IFERROR(B54/B56,0)</f>
        <v>0.210526315789474</v>
      </c>
    </row>
    <row r="55" customFormat="false" ht="15" hidden="false" customHeight="false" outlineLevel="0" collapsed="false">
      <c r="A55" s="10" t="s">
        <v>280</v>
      </c>
      <c r="B55" s="25" t="n">
        <f aca="false">IF(Datos!B60="",0,Datos!B60)</f>
        <v>400</v>
      </c>
      <c r="C55" s="28" t="n">
        <f aca="false">IFERROR(B55/B56,0)</f>
        <v>0.210526315789474</v>
      </c>
    </row>
    <row r="56" customFormat="false" ht="15" hidden="false" customHeight="false" outlineLevel="0" collapsed="false">
      <c r="A56" s="13" t="s">
        <v>281</v>
      </c>
      <c r="B56" s="14" t="n">
        <f aca="false">SUM(B52:B55)</f>
        <v>1900</v>
      </c>
      <c r="D56" s="13" t="str">
        <f aca="false">IF(B56=0,"Sin datos de vencimientos",IF(ABS(B56-B35)&lt;1,"Cuadra con la deuda total","No cuadra con la deuda total: revisar la nota"))</f>
        <v>Cuadra con la deuda total</v>
      </c>
    </row>
    <row r="58" customFormat="false" ht="15" hidden="false" customHeight="false" outlineLevel="0" collapsed="false">
      <c r="A58" s="29" t="s">
        <v>282</v>
      </c>
    </row>
  </sheetData>
  <mergeCells count="2">
    <mergeCell ref="A1:D1"/>
    <mergeCell ref="A2:D2"/>
  </mergeCells>
  <conditionalFormatting sqref="D5:D58">
    <cfRule type="expression" priority="2" aboveAverage="0" equalAverage="0" bottom="0" percent="0" rank="0" text="" dxfId="2">
      <formula>LEFT(D5,6)="Cumple"</formula>
    </cfRule>
    <cfRule type="expression" priority="3" aboveAverage="0" equalAverage="0" bottom="0" percent="0" rank="0" text="" dxfId="3">
      <formula>D5="INCUMPLE"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8"/>
    <col collapsed="false" customWidth="true" hidden="false" outlineLevel="0" max="4" min="4" style="0" width="86"/>
  </cols>
  <sheetData>
    <row r="1" customFormat="false" ht="33.75" hidden="false" customHeight="true" outlineLevel="0" collapsed="false">
      <c r="A1" s="1" t="s">
        <v>283</v>
      </c>
      <c r="B1" s="1"/>
      <c r="C1" s="1"/>
      <c r="D1" s="1"/>
    </row>
    <row r="2" customFormat="false" ht="15" hidden="false" customHeight="false" outlineLevel="0" collapsed="false">
      <c r="A2" s="2" t="s">
        <v>284</v>
      </c>
      <c r="B2" s="2"/>
      <c r="C2" s="2"/>
      <c r="D2" s="2"/>
    </row>
    <row r="4" customFormat="false" ht="30" hidden="false" customHeight="true" outlineLevel="0" collapsed="false">
      <c r="A4" s="7" t="s">
        <v>39</v>
      </c>
      <c r="B4" s="7" t="s">
        <v>127</v>
      </c>
      <c r="C4" s="7" t="s">
        <v>128</v>
      </c>
      <c r="D4" s="7" t="s">
        <v>216</v>
      </c>
    </row>
    <row r="5" customFormat="false" ht="15" hidden="false" customHeight="false" outlineLevel="0" collapsed="false">
      <c r="A5" s="8" t="s">
        <v>285</v>
      </c>
      <c r="B5" s="9"/>
      <c r="C5" s="9"/>
      <c r="D5" s="9"/>
    </row>
    <row r="6" customFormat="false" ht="15" hidden="false" customHeight="false" outlineLevel="0" collapsed="false">
      <c r="A6" s="10" t="s">
        <v>286</v>
      </c>
      <c r="B6" s="37" t="n">
        <f aca="false">Datos!B32*365/Datos!B40</f>
        <v>1430</v>
      </c>
      <c r="C6" s="37" t="n">
        <f aca="false">Datos!C32*365/Datos!C40</f>
        <v>1120</v>
      </c>
      <c r="D6" s="19" t="s">
        <v>287</v>
      </c>
    </row>
    <row r="7" customFormat="false" ht="15" hidden="false" customHeight="false" outlineLevel="0" collapsed="false">
      <c r="A7" s="10" t="s">
        <v>288</v>
      </c>
      <c r="B7" s="38" t="n">
        <f aca="false">IFERROR(Datos!B29/(Datos!B32-Datos!B28),0)</f>
        <v>0.266129032258065</v>
      </c>
      <c r="C7" s="38" t="n">
        <f aca="false">IFERROR(Datos!C29/(Datos!C32-Datos!C28),0)</f>
        <v>0.297872340425532</v>
      </c>
      <c r="D7" s="19" t="s">
        <v>289</v>
      </c>
    </row>
    <row r="8" customFormat="false" ht="15" hidden="false" customHeight="false" outlineLevel="0" collapsed="false">
      <c r="A8" s="10" t="s">
        <v>290</v>
      </c>
      <c r="B8" s="37" t="n">
        <f aca="false">B6*(1-B7)</f>
        <v>1049.43548387097</v>
      </c>
      <c r="C8" s="37" t="n">
        <f aca="false">C6*(1-C7)</f>
        <v>786.382978723404</v>
      </c>
      <c r="D8" s="19"/>
    </row>
    <row r="9" customFormat="false" ht="15" hidden="false" customHeight="false" outlineLevel="0" collapsed="false">
      <c r="A9" s="10" t="s">
        <v>291</v>
      </c>
      <c r="B9" s="37" t="n">
        <f aca="false">Datos!B20+Avanzado!B35-Datos!B7</f>
        <v>3880</v>
      </c>
      <c r="C9" s="37" t="n">
        <f aca="false">Datos!C20+Avanzado!C35-Datos!C7</f>
        <v>3590</v>
      </c>
      <c r="D9" s="19" t="s">
        <v>292</v>
      </c>
    </row>
    <row r="10" customFormat="false" ht="15" hidden="false" customHeight="false" outlineLevel="0" collapsed="false">
      <c r="A10" s="13" t="s">
        <v>293</v>
      </c>
      <c r="B10" s="42" t="n">
        <f aca="false">IFERROR(B8/B9,0)</f>
        <v>0.270473062853342</v>
      </c>
      <c r="C10" s="42" t="n">
        <f aca="false">IFERROR(C8/C9,0)</f>
        <v>0.219048183488413</v>
      </c>
      <c r="D10" s="19" t="s">
        <v>294</v>
      </c>
    </row>
    <row r="11" customFormat="false" ht="15" hidden="false" customHeight="false" outlineLevel="0" collapsed="false">
      <c r="A11" s="10" t="s">
        <v>295</v>
      </c>
      <c r="B11" s="38" t="n">
        <f aca="false">IFERROR(Avanzado!B35/(Avanzado!B35+Datos!B20),0)</f>
        <v>0.441860465116279</v>
      </c>
      <c r="C11" s="38" t="n">
        <f aca="false">IFERROR(Avanzado!C35/(Avanzado!C35+Datos!C20),0)</f>
        <v>0.478589420654912</v>
      </c>
      <c r="D11" s="19"/>
    </row>
    <row r="12" customFormat="false" ht="15" hidden="false" customHeight="false" outlineLevel="0" collapsed="false">
      <c r="A12" s="10" t="s">
        <v>296</v>
      </c>
      <c r="B12" s="38" t="n">
        <f aca="false">Avanzado!B40</f>
        <v>0.1</v>
      </c>
      <c r="D12" s="19" t="s">
        <v>297</v>
      </c>
    </row>
    <row r="13" customFormat="false" ht="15" hidden="false" customHeight="false" outlineLevel="0" collapsed="false">
      <c r="A13" s="13" t="s">
        <v>298</v>
      </c>
      <c r="B13" s="42" t="n">
        <f aca="false">IF(OR(Datos!B63="",NOT(ISNUMBER(B12))),"n/d",(1-B11)*Datos!B63+B11*B12*(1-B7))</f>
        <v>0.132891972993248</v>
      </c>
      <c r="D13" s="19" t="s">
        <v>299</v>
      </c>
    </row>
    <row r="14" customFormat="false" ht="15" hidden="false" customHeight="false" outlineLevel="0" collapsed="false">
      <c r="A14" s="10" t="s">
        <v>300</v>
      </c>
      <c r="B14" s="38" t="n">
        <f aca="false">IF(ISNUMBER(B13),B10-B13,"n/d")</f>
        <v>0.137581089860094</v>
      </c>
      <c r="D14" s="19" t="s">
        <v>301</v>
      </c>
    </row>
    <row r="15" customFormat="false" ht="15" hidden="false" customHeight="false" outlineLevel="0" collapsed="false">
      <c r="A15" s="13" t="s">
        <v>302</v>
      </c>
      <c r="B15" s="36" t="n">
        <f aca="false">IF(ISNUMBER(B14),B14*B9,"n/d")</f>
        <v>533.814628657164</v>
      </c>
      <c r="D15" s="19" t="s">
        <v>303</v>
      </c>
    </row>
    <row r="17" customFormat="false" ht="15" hidden="false" customHeight="false" outlineLevel="0" collapsed="false">
      <c r="A17" s="8" t="s">
        <v>304</v>
      </c>
      <c r="B17" s="9"/>
      <c r="C17" s="9"/>
      <c r="D17" s="9"/>
    </row>
    <row r="18" customFormat="false" ht="15" hidden="false" customHeight="false" outlineLevel="0" collapsed="false">
      <c r="A18" s="10" t="s">
        <v>305</v>
      </c>
      <c r="B18" s="45" t="n">
        <f aca="false">IFERROR((Datos!B11-Datos!B17)/Datos!B13,0)</f>
        <v>0.181818181818182</v>
      </c>
      <c r="C18" s="45" t="n">
        <f aca="false">IFERROR((Datos!C11-Datos!C17)/Datos!C13,0)</f>
        <v>0.163346613545817</v>
      </c>
      <c r="D18" s="19" t="s">
        <v>306</v>
      </c>
    </row>
    <row r="19" customFormat="false" ht="15" hidden="false" customHeight="false" outlineLevel="0" collapsed="false">
      <c r="A19" s="10" t="s">
        <v>307</v>
      </c>
      <c r="B19" s="45" t="n">
        <f aca="false">IF(Datos!B62="","n/d",IFERROR((Datos!B20-Datos!B62)/Datos!B13,0))</f>
        <v>0.290909090909091</v>
      </c>
      <c r="C19" s="45" t="n">
        <f aca="false">IF(Datos!C62="","n/d",IFERROR((Datos!C20-Datos!C62)/Datos!C13,0))</f>
        <v>0.252988047808765</v>
      </c>
      <c r="D19" s="19" t="s">
        <v>308</v>
      </c>
    </row>
    <row r="20" customFormat="false" ht="15" hidden="false" customHeight="false" outlineLevel="0" collapsed="false">
      <c r="A20" s="10" t="s">
        <v>309</v>
      </c>
      <c r="B20" s="45" t="n">
        <f aca="false">IFERROR(B6/Datos!B13,0)</f>
        <v>0.26</v>
      </c>
      <c r="C20" s="45" t="n">
        <f aca="false">IFERROR(C6/Datos!C13,0)</f>
        <v>0.223107569721116</v>
      </c>
      <c r="D20" s="19" t="s">
        <v>310</v>
      </c>
    </row>
    <row r="21" customFormat="false" ht="15" hidden="false" customHeight="false" outlineLevel="0" collapsed="false">
      <c r="A21" s="10" t="s">
        <v>311</v>
      </c>
      <c r="B21" s="45" t="n">
        <f aca="false">IFERROR(Datos!B20/Datos!B19,0)</f>
        <v>0.774193548387097</v>
      </c>
      <c r="C21" s="45" t="n">
        <f aca="false">IFERROR(Datos!C20/Datos!C19,0)</f>
        <v>0.701694915254237</v>
      </c>
      <c r="D21" s="19" t="s">
        <v>312</v>
      </c>
    </row>
    <row r="22" customFormat="false" ht="15" hidden="false" customHeight="false" outlineLevel="0" collapsed="false">
      <c r="A22" s="13" t="s">
        <v>313</v>
      </c>
      <c r="B22" s="46" t="n">
        <f aca="false">IF(ISNUMBER(B19),3.25+6.56*B18+3.26*B19+6.72*B20+1.05*B21,"n/d")</f>
        <v>7.95119413489736</v>
      </c>
      <c r="C22" s="46" t="n">
        <f aca="false">IF(ISNUMBER(C19),3.25+6.56*C18+3.26*C19+6.72*C20+1.05*C21,"n/d")</f>
        <v>7.38235735025998</v>
      </c>
      <c r="D22" s="19" t="s">
        <v>314</v>
      </c>
    </row>
    <row r="23" customFormat="false" ht="15" hidden="false" customHeight="false" outlineLevel="0" collapsed="false">
      <c r="A23" s="13" t="s">
        <v>315</v>
      </c>
      <c r="B23" s="47" t="str">
        <f aca="false">IF(ISNUMBER(B22),IF(B22&gt;5.85,"Zona segura",IF(B22&gt;=4.15,"Zona gris","Zona de riesgo")),"n/d")</f>
        <v>Zona segura</v>
      </c>
      <c r="C23" s="47" t="str">
        <f aca="false">IF(ISNUMBER(C22),IF(C22&gt;5.85,"Zona segura",IF(C22&gt;=4.15,"Zona gris","Zona de riesgo")),"n/d")</f>
        <v>Zona segura</v>
      </c>
      <c r="D23" s="19" t="s">
        <v>316</v>
      </c>
    </row>
    <row r="25" customFormat="false" ht="15" hidden="false" customHeight="false" outlineLevel="0" collapsed="false">
      <c r="A25" s="8" t="s">
        <v>317</v>
      </c>
      <c r="B25" s="9"/>
      <c r="C25" s="9"/>
      <c r="D25" s="9"/>
    </row>
    <row r="26" customFormat="false" ht="15" hidden="false" customHeight="false" outlineLevel="0" collapsed="false">
      <c r="A26" s="10" t="s">
        <v>318</v>
      </c>
      <c r="B26" s="38" t="n">
        <f aca="false">IFERROR((Datos!B24-Datos!B25)/Datos!B24,0)</f>
        <v>0.352040816326531</v>
      </c>
      <c r="C26" s="38" t="n">
        <f aca="false">IFERROR((Datos!C24-Datos!C25)/Datos!C24,0)</f>
        <v>0.340449438202247</v>
      </c>
      <c r="D26" s="19" t="s">
        <v>319</v>
      </c>
    </row>
    <row r="27" customFormat="false" ht="15" hidden="false" customHeight="false" outlineLevel="0" collapsed="false">
      <c r="A27" s="10" t="s">
        <v>320</v>
      </c>
      <c r="B27" s="37" t="n">
        <f aca="false">(Datos!B26+Datos!B27+Datos!B28)*365/Datos!B40</f>
        <v>2210</v>
      </c>
      <c r="C27" s="37" t="n">
        <f aca="false">(Datos!C26+Datos!C27+Datos!C28)*365/Datos!C40</f>
        <v>2090</v>
      </c>
      <c r="D27" s="19"/>
    </row>
    <row r="28" customFormat="false" ht="15" hidden="false" customHeight="false" outlineLevel="0" collapsed="false">
      <c r="A28" s="13" t="s">
        <v>321</v>
      </c>
      <c r="B28" s="36" t="n">
        <f aca="false">IFERROR(B27/B26,"n/d")</f>
        <v>6277.68115942029</v>
      </c>
      <c r="C28" s="36" t="n">
        <f aca="false">IFERROR(C27/C26,"n/d")</f>
        <v>6138.94389438944</v>
      </c>
      <c r="D28" s="19" t="s">
        <v>322</v>
      </c>
    </row>
    <row r="29" customFormat="false" ht="15" hidden="false" customHeight="false" outlineLevel="0" collapsed="false">
      <c r="A29" s="13" t="s">
        <v>323</v>
      </c>
      <c r="B29" s="42" t="n">
        <f aca="false">IFERROR((Avanzado!B7-B28)/Avanzado!B7,"n/d")</f>
        <v>0.359420289855072</v>
      </c>
      <c r="C29" s="42" t="n">
        <f aca="false">IFERROR((Avanzado!C7-C28)/Avanzado!C7,"n/d")</f>
        <v>0.31023102310231</v>
      </c>
      <c r="D29" s="19" t="s">
        <v>324</v>
      </c>
    </row>
    <row r="30" customFormat="false" ht="15" hidden="false" customHeight="false" outlineLevel="0" collapsed="false">
      <c r="A30" s="10" t="s">
        <v>325</v>
      </c>
      <c r="B30" s="41" t="n">
        <f aca="false">IFERROR(Avanzado!B7*B26/B6,"n/d")</f>
        <v>2.41258741258741</v>
      </c>
      <c r="C30" s="41" t="n">
        <f aca="false">IFERROR(Avanzado!C7*C26/C6,"n/d")</f>
        <v>2.70535714285714</v>
      </c>
      <c r="D30" s="19" t="s">
        <v>326</v>
      </c>
    </row>
    <row r="32" customFormat="false" ht="15" hidden="false" customHeight="false" outlineLevel="0" collapsed="false">
      <c r="A32" s="8" t="s">
        <v>327</v>
      </c>
      <c r="B32" s="9"/>
      <c r="C32" s="9"/>
      <c r="D32" s="9"/>
    </row>
    <row r="33" customFormat="false" ht="15" hidden="false" customHeight="false" outlineLevel="0" collapsed="false">
      <c r="A33" s="10" t="s">
        <v>328</v>
      </c>
      <c r="B33" s="38" t="n">
        <f aca="false">IFERROR((Datos!B33-Datos!B36)/Datos!B13,0)</f>
        <v>0.0545454545454545</v>
      </c>
      <c r="C33" s="38" t="n">
        <f aca="false">IFERROR((Datos!C33-Datos!C36)/Datos!C13,0)</f>
        <v>0.0239043824701195</v>
      </c>
      <c r="D33" s="19" t="s">
        <v>329</v>
      </c>
    </row>
    <row r="34" customFormat="false" ht="15" hidden="false" customHeight="false" outlineLevel="0" collapsed="false">
      <c r="A34" s="10" t="s">
        <v>330</v>
      </c>
      <c r="B34" s="41" t="n">
        <f aca="false">IFERROR(Datos!B38/Datos!B33,0)</f>
        <v>0.340659340659341</v>
      </c>
      <c r="C34" s="41" t="n">
        <f aca="false">IFERROR(Datos!C38/Datos!C33,0)</f>
        <v>0.424242424242424</v>
      </c>
      <c r="D34" s="19"/>
    </row>
    <row r="35" customFormat="false" ht="27.75" hidden="false" customHeight="true" outlineLevel="0" collapsed="false">
      <c r="A35" s="10" t="s">
        <v>331</v>
      </c>
      <c r="B35" s="38" t="n">
        <f aca="false">B7-Datos!B64</f>
        <v>-0.0838709677419355</v>
      </c>
      <c r="D35" s="19" t="s">
        <v>332</v>
      </c>
    </row>
    <row r="37" customFormat="false" ht="15" hidden="false" customHeight="false" outlineLevel="0" collapsed="false">
      <c r="A37" s="8" t="s">
        <v>333</v>
      </c>
      <c r="B37" s="9"/>
      <c r="C37" s="9"/>
      <c r="D37" s="9"/>
    </row>
    <row r="38" customFormat="false" ht="15" hidden="false" customHeight="false" outlineLevel="0" collapsed="false">
      <c r="A38" s="44" t="s">
        <v>39</v>
      </c>
      <c r="B38" s="44" t="s">
        <v>334</v>
      </c>
      <c r="C38" s="44" t="s">
        <v>335</v>
      </c>
      <c r="D38" s="44" t="s">
        <v>336</v>
      </c>
    </row>
    <row r="39" customFormat="false" ht="15" hidden="false" customHeight="false" outlineLevel="0" collapsed="false">
      <c r="A39" s="10" t="s">
        <v>220</v>
      </c>
      <c r="B39" s="37" t="n">
        <f aca="false">Avanzado!B7</f>
        <v>9800</v>
      </c>
      <c r="C39" s="37" t="n">
        <f aca="false">Avanzado!B7*(1-Datos!B65)</f>
        <v>8330</v>
      </c>
      <c r="D39" s="19" t="s">
        <v>337</v>
      </c>
    </row>
    <row r="40" customFormat="false" ht="15" hidden="false" customHeight="false" outlineLevel="0" collapsed="false">
      <c r="A40" s="13" t="s">
        <v>338</v>
      </c>
      <c r="B40" s="36" t="n">
        <f aca="false">(Datos!B24-Datos!B25-Datos!B26)*365/Datos!B40</f>
        <v>1650</v>
      </c>
      <c r="C40" s="36" t="n">
        <f aca="false">C39*B26-Datos!B26*365/Datos!B40</f>
        <v>1132.5</v>
      </c>
      <c r="D40" s="19" t="s">
        <v>339</v>
      </c>
    </row>
    <row r="41" customFormat="false" ht="15" hidden="false" customHeight="false" outlineLevel="0" collapsed="false">
      <c r="A41" s="10" t="s">
        <v>286</v>
      </c>
      <c r="B41" s="37" t="n">
        <f aca="false">B6</f>
        <v>1430</v>
      </c>
      <c r="C41" s="37" t="n">
        <f aca="false">C40-Datos!B27*365/Datos!B40</f>
        <v>912.5</v>
      </c>
      <c r="D41" s="19"/>
    </row>
    <row r="42" customFormat="false" ht="15" hidden="false" customHeight="false" outlineLevel="0" collapsed="false">
      <c r="A42" s="10" t="s">
        <v>340</v>
      </c>
      <c r="B42" s="37" t="n">
        <f aca="false">Datos!B28*365/Datos!B40</f>
        <v>190</v>
      </c>
      <c r="C42" s="37" t="n">
        <f aca="false">B42+Avanzado!B35*Datos!B66</f>
        <v>247</v>
      </c>
      <c r="D42" s="19" t="s">
        <v>341</v>
      </c>
    </row>
    <row r="43" customFormat="false" ht="15" hidden="false" customHeight="false" outlineLevel="0" collapsed="false">
      <c r="A43" s="13" t="s">
        <v>342</v>
      </c>
      <c r="B43" s="43" t="n">
        <f aca="false">IFERROR(B41/B42,"n/d")</f>
        <v>7.52631578947368</v>
      </c>
      <c r="C43" s="43" t="n">
        <f aca="false">IFERROR(C41/C42,"n/d")</f>
        <v>3.69433198380567</v>
      </c>
      <c r="D43" s="19" t="s">
        <v>343</v>
      </c>
    </row>
    <row r="44" customFormat="false" ht="15" hidden="false" customHeight="false" outlineLevel="0" collapsed="false">
      <c r="A44" s="13" t="s">
        <v>344</v>
      </c>
      <c r="B44" s="43" t="n">
        <f aca="false">IFERROR(Avanzado!B36/B40,"n/d")</f>
        <v>0.896969696969697</v>
      </c>
      <c r="C44" s="43" t="n">
        <f aca="false">IF(C40&lt;=0,"n/d",Avanzado!B36/C40)</f>
        <v>1.30684326710817</v>
      </c>
      <c r="D44" s="19"/>
    </row>
    <row r="45" customFormat="false" ht="15" hidden="false" customHeight="false" outlineLevel="0" collapsed="false">
      <c r="A45" s="10" t="s">
        <v>345</v>
      </c>
      <c r="C45" s="37" t="n">
        <f aca="false">C39/365*Datos!B67</f>
        <v>342.328767123288</v>
      </c>
      <c r="D45" s="19" t="s">
        <v>346</v>
      </c>
    </row>
    <row r="46" customFormat="false" ht="15" hidden="false" customHeight="false" outlineLevel="0" collapsed="false">
      <c r="A46" s="13" t="s">
        <v>347</v>
      </c>
      <c r="B46" s="47" t="str">
        <f aca="false">IF(OR(Datos!B56="",NOT(ISNUMBER(B44))),"Sin dato",IF(B44&lt;=Datos!B56,"Cumple","INCUMPLE"))</f>
        <v>Cumple</v>
      </c>
      <c r="C46" s="47" t="str">
        <f aca="false">IF(OR(Datos!B56="",NOT(ISNUMBER(C44))),"Sin dato",IF(C44&lt;=Datos!B56,"Cumple","INCUMPLE"))</f>
        <v>Cumple</v>
      </c>
      <c r="D46" s="19" t="s">
        <v>348</v>
      </c>
    </row>
    <row r="48" customFormat="false" ht="15" hidden="false" customHeight="false" outlineLevel="0" collapsed="false">
      <c r="A48" s="29" t="s">
        <v>349</v>
      </c>
    </row>
  </sheetData>
  <mergeCells count="2">
    <mergeCell ref="A1:D1"/>
    <mergeCell ref="A2:D2"/>
  </mergeCells>
  <conditionalFormatting sqref="B5:C48">
    <cfRule type="expression" priority="2" aboveAverage="0" equalAverage="0" bottom="0" percent="0" rank="0" text="" dxfId="3">
      <formula>B5="INCUMPLE"</formula>
    </cfRule>
    <cfRule type="expression" priority="3" aboveAverage="0" equalAverage="0" bottom="0" percent="0" rank="0" text="" dxfId="2">
      <formula>B5="Cumple"</formula>
    </cfRule>
  </conditionalFormatting>
  <conditionalFormatting sqref="B5:B48">
    <cfRule type="expression" priority="4" aboveAverage="0" equalAverage="0" bottom="0" percent="0" rank="0" text="" dxfId="3">
      <formula>B5="Zona de riesgo"</formula>
    </cfRule>
    <cfRule type="expression" priority="5" aboveAverage="0" equalAverage="0" bottom="0" percent="0" rank="0" text="" dxfId="2">
      <formula>B5="Zona segura"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28"/>
  </cols>
  <sheetData>
    <row r="1" customFormat="false" ht="33.75" hidden="false" customHeight="true" outlineLevel="0" collapsed="false">
      <c r="A1" s="1" t="s">
        <v>350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351</v>
      </c>
      <c r="B2" s="2"/>
      <c r="C2" s="2"/>
      <c r="D2" s="2"/>
      <c r="E2" s="2"/>
    </row>
    <row r="3" customFormat="false" ht="15" hidden="false" customHeight="false" outlineLevel="0" collapsed="false">
      <c r="A3" s="29" t="s">
        <v>352</v>
      </c>
    </row>
    <row r="4" customFormat="false" ht="30" hidden="false" customHeight="true" outlineLevel="0" collapsed="false">
      <c r="A4" s="7" t="s">
        <v>39</v>
      </c>
      <c r="B4" s="48" t="n">
        <v>2023</v>
      </c>
      <c r="C4" s="48" t="n">
        <v>2024</v>
      </c>
      <c r="D4" s="48" t="n">
        <v>2025</v>
      </c>
      <c r="E4" s="7" t="s">
        <v>353</v>
      </c>
    </row>
    <row r="5" customFormat="false" ht="15" hidden="false" customHeight="false" outlineLevel="0" collapsed="false">
      <c r="A5" s="8" t="s">
        <v>354</v>
      </c>
      <c r="B5" s="9"/>
      <c r="C5" s="9"/>
      <c r="D5" s="9"/>
      <c r="E5" s="9"/>
    </row>
    <row r="6" customFormat="false" ht="15" hidden="false" customHeight="false" outlineLevel="0" collapsed="false">
      <c r="A6" s="10" t="s">
        <v>246</v>
      </c>
      <c r="B6" s="11" t="n">
        <v>8100</v>
      </c>
      <c r="C6" s="11" t="n">
        <v>8700</v>
      </c>
      <c r="D6" s="11" t="n">
        <v>9300</v>
      </c>
      <c r="E6" s="49" t="str">
        <f aca="false">IFERROR(IF(D6&gt;B6,"↑ ","↓ ")&amp;TEXT((D6/B6)^(1/(D$4-B$4))-1,"0.0%")&amp;" anual (CAGR)","")</f>
        <v>↑ 7.2% anual (CAGR)</v>
      </c>
    </row>
    <row r="7" customFormat="false" ht="15" hidden="false" customHeight="false" outlineLevel="0" collapsed="false">
      <c r="A7" s="10" t="s">
        <v>71</v>
      </c>
      <c r="B7" s="11" t="n">
        <v>2650</v>
      </c>
      <c r="C7" s="11" t="n">
        <v>2900</v>
      </c>
      <c r="D7" s="11" t="n">
        <v>3220</v>
      </c>
      <c r="E7" s="49" t="str">
        <f aca="false">IFERROR(IF(D7&gt;B7,"↑ ","↓ ")&amp;TEXT((D7/B7)^(1/(D$4-B$4))-1,"0.0%")&amp;" anual (CAGR)","")</f>
        <v>↑ 10.2% anual (CAGR)</v>
      </c>
    </row>
    <row r="8" customFormat="false" ht="15" hidden="false" customHeight="false" outlineLevel="0" collapsed="false">
      <c r="A8" s="10" t="s">
        <v>72</v>
      </c>
      <c r="B8" s="11" t="n">
        <v>1150</v>
      </c>
      <c r="C8" s="11" t="n">
        <v>1400</v>
      </c>
      <c r="D8" s="11" t="n">
        <v>1660</v>
      </c>
      <c r="E8" s="49" t="str">
        <f aca="false">IFERROR(IF(D8&gt;B8,"↑ ","↓ ")&amp;TEXT((D8/B8)^(1/(D$4-B$4))-1,"0.0%")&amp;" anual (CAGR)","")</f>
        <v>↑ 20.1% anual (CAGR)</v>
      </c>
    </row>
    <row r="9" customFormat="false" ht="15" hidden="false" customHeight="false" outlineLevel="0" collapsed="false">
      <c r="A9" s="10" t="s">
        <v>74</v>
      </c>
      <c r="B9" s="11" t="n">
        <v>520</v>
      </c>
      <c r="C9" s="11" t="n">
        <v>590</v>
      </c>
      <c r="D9" s="11" t="n">
        <v>660</v>
      </c>
      <c r="E9" s="49" t="str">
        <f aca="false">IFERROR(IF(D9&gt;B9,"↑ ","↓ ")&amp;TEXT((D9/B9)^(1/(D$4-B$4))-1,"0.0%")&amp;" anual (CAGR)","")</f>
        <v>↑ 12.7% anual (CAGR)</v>
      </c>
    </row>
    <row r="10" customFormat="false" ht="15" hidden="false" customHeight="false" outlineLevel="0" collapsed="false">
      <c r="A10" s="10" t="s">
        <v>76</v>
      </c>
      <c r="B10" s="11" t="n">
        <v>480</v>
      </c>
      <c r="C10" s="11" t="n">
        <v>520</v>
      </c>
      <c r="D10" s="11" t="n">
        <v>640</v>
      </c>
      <c r="E10" s="49" t="str">
        <f aca="false">IFERROR(IF(D10&gt;B10,"↑ ","↓ ")&amp;TEXT((D10/B10)^(1/(D$4-B$4))-1,"0.0%")&amp;" anual (CAGR)","")</f>
        <v>↑ 15.5% anual (CAGR)</v>
      </c>
    </row>
    <row r="11" customFormat="false" ht="15" hidden="false" customHeight="false" outlineLevel="0" collapsed="false">
      <c r="A11" s="10" t="s">
        <v>355</v>
      </c>
      <c r="B11" s="11" t="n">
        <v>310</v>
      </c>
      <c r="C11" s="11" t="n">
        <v>340</v>
      </c>
      <c r="D11" s="11" t="n">
        <v>380</v>
      </c>
      <c r="E11" s="49" t="str">
        <f aca="false">IFERROR(IF(D11&gt;B11,"↑ ","↓ ")&amp;TEXT((D11/B11)^(1/(D$4-B$4))-1,"0.0%")&amp;" anual (CAGR)","")</f>
        <v>↑ 10.7% anual (CAGR)</v>
      </c>
    </row>
    <row r="12" customFormat="false" ht="15" hidden="false" customHeight="false" outlineLevel="0" collapsed="false">
      <c r="A12" s="10" t="s">
        <v>356</v>
      </c>
      <c r="B12" s="11" t="n">
        <v>4600</v>
      </c>
      <c r="C12" s="11" t="n">
        <v>4800</v>
      </c>
      <c r="D12" s="11" t="n">
        <v>5020</v>
      </c>
      <c r="E12" s="49" t="str">
        <f aca="false">IFERROR(IF(D12&gt;B12,"↑ ","↓ ")&amp;TEXT((D12/B12)^(1/(D$4-B$4))-1,"0.0%")&amp;" anual (CAGR)","")</f>
        <v>↑ 4.5% anual (CAGR)</v>
      </c>
    </row>
    <row r="13" customFormat="false" ht="15" hidden="false" customHeight="false" outlineLevel="0" collapsed="false">
      <c r="A13" s="10" t="s">
        <v>357</v>
      </c>
      <c r="B13" s="11" t="n">
        <v>1900</v>
      </c>
      <c r="C13" s="11" t="n">
        <v>1950</v>
      </c>
      <c r="D13" s="11" t="n">
        <v>1900</v>
      </c>
      <c r="E13" s="49" t="str">
        <f aca="false">IFERROR(IF(D13&gt;B13,"↑ ","↓ ")&amp;TEXT((D13/B13)^(1/(D$4-B$4))-1,"0.0%")&amp;" anual (CAGR)","")</f>
        <v>↓ 0.0% anual (CAGR)</v>
      </c>
    </row>
    <row r="14" customFormat="false" ht="15" hidden="false" customHeight="false" outlineLevel="0" collapsed="false">
      <c r="A14" s="10" t="s">
        <v>59</v>
      </c>
      <c r="B14" s="11" t="n">
        <v>1700</v>
      </c>
      <c r="C14" s="11" t="n">
        <v>1850</v>
      </c>
      <c r="D14" s="11" t="n">
        <v>2070</v>
      </c>
      <c r="E14" s="49" t="str">
        <f aca="false">IFERROR(IF(D14&gt;B14,"↑ ","↓ ")&amp;TEXT((D14/B14)^(1/(D$4-B$4))-1,"0.0%")&amp;" anual (CAGR)","")</f>
        <v>↑ 10.3% anual (CAGR)</v>
      </c>
    </row>
    <row r="16" customFormat="false" ht="15" hidden="false" customHeight="false" outlineLevel="0" collapsed="false">
      <c r="A16" s="8" t="s">
        <v>358</v>
      </c>
      <c r="B16" s="9"/>
      <c r="C16" s="9"/>
      <c r="D16" s="9"/>
      <c r="E16" s="9"/>
    </row>
    <row r="17" customFormat="false" ht="15" hidden="false" customHeight="false" outlineLevel="0" collapsed="false">
      <c r="A17" s="10" t="s">
        <v>359</v>
      </c>
      <c r="C17" s="28" t="n">
        <f aca="false">IFERROR(C6/B6-1,0)</f>
        <v>0.0740740740740742</v>
      </c>
      <c r="D17" s="28" t="n">
        <f aca="false">IFERROR(D6/C6-1,0)</f>
        <v>0.0689655172413792</v>
      </c>
      <c r="E17" s="49" t="str">
        <f aca="false">IF(D17&gt;C17,"Mejora","Deterioro")&amp;" frente a "&amp;C$4</f>
        <v>Deterioro frente a 2024</v>
      </c>
    </row>
    <row r="18" customFormat="false" ht="15" hidden="false" customHeight="false" outlineLevel="0" collapsed="false">
      <c r="A18" s="10" t="s">
        <v>161</v>
      </c>
      <c r="B18" s="28" t="n">
        <f aca="false">IFERROR(B7/B6,0)</f>
        <v>0.327160493827161</v>
      </c>
      <c r="C18" s="28" t="n">
        <f aca="false">IFERROR(C7/C6,0)</f>
        <v>0.333333333333333</v>
      </c>
      <c r="D18" s="28" t="n">
        <f aca="false">IFERROR(D7/D6,0)</f>
        <v>0.346236559139785</v>
      </c>
      <c r="E18" s="49" t="str">
        <f aca="false">IFERROR(IF(D18&gt;B18,"Mejora","Deterioro")&amp;" frente a "&amp;B$4,"")</f>
        <v>Mejora frente a 2023</v>
      </c>
    </row>
    <row r="19" customFormat="false" ht="15" hidden="false" customHeight="false" outlineLevel="0" collapsed="false">
      <c r="A19" s="10" t="s">
        <v>164</v>
      </c>
      <c r="B19" s="28" t="n">
        <f aca="false">IFERROR(B8/B6,0)</f>
        <v>0.141975308641975</v>
      </c>
      <c r="C19" s="28" t="n">
        <f aca="false">IFERROR(C8/C6,0)</f>
        <v>0.160919540229885</v>
      </c>
      <c r="D19" s="28" t="n">
        <f aca="false">IFERROR(D8/D6,0)</f>
        <v>0.178494623655914</v>
      </c>
      <c r="E19" s="49" t="str">
        <f aca="false">IFERROR(IF(D19&gt;B19,"Mejora","Deterioro")&amp;" frente a "&amp;B$4,"")</f>
        <v>Mejora frente a 2023</v>
      </c>
    </row>
    <row r="20" customFormat="false" ht="15" hidden="false" customHeight="false" outlineLevel="0" collapsed="false">
      <c r="A20" s="10" t="s">
        <v>167</v>
      </c>
      <c r="B20" s="28" t="n">
        <f aca="false">IFERROR(B9/B6,0)</f>
        <v>0.0641975308641975</v>
      </c>
      <c r="C20" s="28" t="n">
        <f aca="false">IFERROR(C9/C6,0)</f>
        <v>0.067816091954023</v>
      </c>
      <c r="D20" s="28" t="n">
        <f aca="false">IFERROR(D9/D6,0)</f>
        <v>0.0709677419354839</v>
      </c>
      <c r="E20" s="49" t="str">
        <f aca="false">IFERROR(IF(D20&gt;B20,"Mejora","Deterioro")&amp;" frente a "&amp;B$4,"")</f>
        <v>Mejora frente a 2023</v>
      </c>
    </row>
    <row r="21" customFormat="false" ht="15" hidden="false" customHeight="false" outlineLevel="0" collapsed="false">
      <c r="A21" s="10" t="s">
        <v>360</v>
      </c>
      <c r="B21" s="20" t="n">
        <f aca="false">IFERROR(B10/B9,0)</f>
        <v>0.923076923076923</v>
      </c>
      <c r="C21" s="20" t="n">
        <f aca="false">IFERROR(C10/C9,0)</f>
        <v>0.88135593220339</v>
      </c>
      <c r="D21" s="20" t="n">
        <f aca="false">IFERROR(D10/D9,0)</f>
        <v>0.96969696969697</v>
      </c>
      <c r="E21" s="49" t="str">
        <f aca="false">IFERROR(IF(D21&gt;B21,"Mejora","Deterioro")&amp;" frente a "&amp;B$4,"")</f>
        <v>Mejora frente a 2023</v>
      </c>
    </row>
    <row r="22" customFormat="false" ht="15" hidden="false" customHeight="false" outlineLevel="0" collapsed="false">
      <c r="A22" s="10" t="s">
        <v>361</v>
      </c>
      <c r="B22" s="28" t="n">
        <f aca="false">IFERROR(B9/B14,0)</f>
        <v>0.305882352941177</v>
      </c>
      <c r="C22" s="28" t="n">
        <f aca="false">IFERROR(C9/C14,0)</f>
        <v>0.318918918918919</v>
      </c>
      <c r="D22" s="28" t="n">
        <f aca="false">IFERROR(D9/D14,0)</f>
        <v>0.318840579710145</v>
      </c>
      <c r="E22" s="49" t="str">
        <f aca="false">IFERROR(IF(D22&gt;B22,"Mejora","Deterioro")&amp;" frente a "&amp;B$4,"")</f>
        <v>Mejora frente a 2023</v>
      </c>
    </row>
    <row r="23" customFormat="false" ht="15" hidden="false" customHeight="false" outlineLevel="0" collapsed="false">
      <c r="A23" s="10" t="s">
        <v>344</v>
      </c>
      <c r="B23" s="20" t="n">
        <f aca="false">IFERROR((B13-B11)/B8,0)</f>
        <v>1.38260869565217</v>
      </c>
      <c r="C23" s="20" t="n">
        <f aca="false">IFERROR((C13-C11)/C8,0)</f>
        <v>1.15</v>
      </c>
      <c r="D23" s="20" t="n">
        <f aca="false">IFERROR((D13-D11)/D8,0)</f>
        <v>0.91566265060241</v>
      </c>
      <c r="E23" s="49" t="str">
        <f aca="false">IFERROR(IF(D23&lt;B23,"Mejora","Deterioro")&amp;" frente a "&amp;B$4,"")</f>
        <v>Mejora frente a 2023</v>
      </c>
    </row>
    <row r="25" customFormat="false" ht="15" hidden="false" customHeight="false" outlineLevel="0" collapsed="false">
      <c r="A25" s="29" t="s">
        <v>362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78"/>
    <col collapsed="false" customWidth="true" hidden="false" outlineLevel="0" max="4" min="4" style="0" width="38"/>
  </cols>
  <sheetData>
    <row r="1" customFormat="false" ht="33.75" hidden="false" customHeight="true" outlineLevel="0" collapsed="false">
      <c r="A1" s="1" t="s">
        <v>363</v>
      </c>
      <c r="B1" s="1"/>
      <c r="C1" s="1"/>
      <c r="D1" s="1"/>
    </row>
    <row r="2" customFormat="false" ht="15" hidden="false" customHeight="false" outlineLevel="0" collapsed="false">
      <c r="A2" s="2" t="s">
        <v>364</v>
      </c>
      <c r="B2" s="2"/>
      <c r="C2" s="2"/>
      <c r="D2" s="2"/>
    </row>
    <row r="4" customFormat="false" ht="30" hidden="false" customHeight="true" outlineLevel="0" collapsed="false">
      <c r="A4" s="7" t="s">
        <v>365</v>
      </c>
      <c r="B4" s="7" t="s">
        <v>366</v>
      </c>
      <c r="C4" s="7" t="s">
        <v>367</v>
      </c>
      <c r="D4" s="7" t="s">
        <v>368</v>
      </c>
    </row>
    <row r="5" customFormat="false" ht="61.5" hidden="false" customHeight="true" outlineLevel="0" collapsed="false">
      <c r="A5" s="50" t="s">
        <v>369</v>
      </c>
      <c r="B5" s="51" t="s">
        <v>370</v>
      </c>
      <c r="C5" s="51" t="s">
        <v>371</v>
      </c>
      <c r="D5" s="51" t="s">
        <v>372</v>
      </c>
    </row>
    <row r="6" customFormat="false" ht="61.5" hidden="false" customHeight="true" outlineLevel="0" collapsed="false">
      <c r="A6" s="50" t="s">
        <v>373</v>
      </c>
      <c r="B6" s="51" t="s">
        <v>374</v>
      </c>
      <c r="C6" s="51" t="s">
        <v>375</v>
      </c>
      <c r="D6" s="51" t="s">
        <v>376</v>
      </c>
    </row>
    <row r="7" customFormat="false" ht="61.5" hidden="false" customHeight="true" outlineLevel="0" collapsed="false">
      <c r="A7" s="50" t="s">
        <v>24</v>
      </c>
      <c r="B7" s="51" t="s">
        <v>377</v>
      </c>
      <c r="C7" s="51" t="s">
        <v>378</v>
      </c>
      <c r="D7" s="51" t="s">
        <v>379</v>
      </c>
    </row>
    <row r="8" customFormat="false" ht="61.5" hidden="false" customHeight="true" outlineLevel="0" collapsed="false">
      <c r="A8" s="50" t="s">
        <v>26</v>
      </c>
      <c r="B8" s="51" t="s">
        <v>380</v>
      </c>
      <c r="C8" s="51" t="s">
        <v>381</v>
      </c>
      <c r="D8" s="51" t="s">
        <v>382</v>
      </c>
    </row>
    <row r="9" customFormat="false" ht="61.5" hidden="false" customHeight="true" outlineLevel="0" collapsed="false">
      <c r="A9" s="50" t="s">
        <v>383</v>
      </c>
      <c r="B9" s="51" t="s">
        <v>384</v>
      </c>
      <c r="C9" s="51" t="s">
        <v>385</v>
      </c>
      <c r="D9" s="51" t="s">
        <v>386</v>
      </c>
    </row>
    <row r="10" customFormat="false" ht="61.5" hidden="false" customHeight="true" outlineLevel="0" collapsed="false">
      <c r="A10" s="50" t="s">
        <v>387</v>
      </c>
      <c r="B10" s="51" t="s">
        <v>388</v>
      </c>
      <c r="C10" s="51" t="s">
        <v>389</v>
      </c>
      <c r="D10" s="51" t="s">
        <v>390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2026-10-06T02:11:38Z</dcterms:created>
  <dc:creator>openpyxl</dc:creator>
  <dc:description/>
  <dc:language>en-US</dc:language>
  <cp:lastModifiedBy/>
  <dcterms:modified xsi:type="dcterms:W3CDTF">2026-10-06T02:11:38Z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