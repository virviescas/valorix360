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Indicadores" sheetId="3" state="visible" r:id="rId5"/>
    <sheet name="Análisis" sheetId="4" state="visible" r:id="rId6"/>
    <sheet name="Avanzado" sheetId="5" state="visible" r:id="rId7"/>
    <sheet name="Valor y riesgo" sheetId="6" state="visible" r:id="rId8"/>
    <sheet name="Histórico" sheetId="7" state="visible" r:id="rId9"/>
    <sheet name="Plan de acción" sheetId="8" state="visible" r:id="rId10"/>
    <sheet name="Revisión" sheetId="9" state="visible" r:id="rId11"/>
    <sheet name="Nota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Derivado: total activo corriente − efectivo − cartera − inventarios</t>
        </r>
      </text>
    </comment>
    <comment ref="B12" authorId="0">
      <text>
        <r>
          <rPr>
            <sz val="10"/>
            <rFont val="Arial"/>
            <family val="2"/>
          </rPr>
          <t xml:space="preserve">Total activo no corriente del PDF</t>
        </r>
      </text>
    </comment>
    <comment ref="B16" authorId="0">
      <text>
        <r>
          <rPr>
            <sz val="10"/>
            <rFont val="Arial"/>
            <family val="2"/>
          </rPr>
          <t xml:space="preserve">Derivado: total pasivo corriente − obligaciones financieras − proveedores</t>
        </r>
      </text>
    </comment>
    <comment ref="B18" authorId="0">
      <text>
        <r>
          <rPr>
            <sz val="10"/>
            <rFont val="Arial"/>
            <family val="2"/>
          </rPr>
          <t xml:space="preserve">Total pasivo no corriente del PDF</t>
        </r>
      </text>
    </comment>
    <comment ref="B26" authorId="0">
      <text>
        <r>
          <rPr>
            <sz val="10"/>
            <rFont val="Arial"/>
            <family val="2"/>
          </rPr>
          <t xml:space="preserve">Gastos de administración + ventas − depreciación y amortización (del flujo de efectivo): se asume que la D&amp;A está dentro de los gastos. Verifica en las notas.</t>
        </r>
      </text>
    </comment>
    <comment ref="B39" authorId="0">
      <text>
        <r>
          <rPr>
            <sz val="10"/>
            <rFont val="Arial"/>
            <family val="2"/>
          </rPr>
          <t xml:space="preserve">Pagos de capital + intereses pagados (flujo de efectivo)</t>
        </r>
      </text>
    </comment>
    <comment ref="B40" authorId="0">
      <text>
        <r>
          <rPr>
            <sz val="10"/>
            <rFont val="Arial"/>
            <family val="2"/>
          </rPr>
          <t xml:space="preserve">Días desde el 1 de enero hasta la fecha de corte. Confirma que la columna anterior sea el MISMO periodo del año previo.</t>
        </r>
      </text>
    </comment>
    <comment ref="B43" authorId="0">
      <text>
        <r>
          <rPr>
            <sz val="10"/>
            <rFont val="Arial"/>
            <family val="2"/>
          </rPr>
          <t xml:space="preserve">Obligaciones financieras no corrientes del PDF</t>
        </r>
      </text>
    </comment>
    <comment ref="B62" authorId="0">
      <text>
        <r>
          <rPr>
            <sz val="10"/>
            <rFont val="Arial"/>
            <family val="2"/>
          </rPr>
          <t xml:space="preserve">Capital social del PDF</t>
        </r>
      </text>
    </comment>
  </commentList>
</comments>
</file>

<file path=xl/sharedStrings.xml><?xml version="1.0" encoding="utf-8"?>
<sst xmlns="http://schemas.openxmlformats.org/spreadsheetml/2006/main" count="727" uniqueCount="522">
  <si>
    <t xml:space="preserve">VALORIX360 · Plantilla de diagnóstico financiero</t>
  </si>
  <si>
    <t xml:space="preserve">Liquidez · Flujo de caja · Utilidades · Inventarios · Endeudamiento</t>
  </si>
  <si>
    <t xml:space="preserve">CÓMO USAR</t>
  </si>
  <si>
    <t xml:space="preserve">1. Hoja Datos</t>
  </si>
  <si>
    <t xml:space="preserve">Digita los estados financieros del cliente en las celdas con texto azul y fondo amarillo (periodo actual y periodo anterior). Los valores precargados son un EJEMPLO: reemplázalos.</t>
  </si>
  <si>
    <t xml:space="preserve">2. Hoja Indicadores</t>
  </si>
  <si>
    <t xml:space="preserve">Se calcula sola. Compara contra una referencia editable (celdas azules) y marca cada indicador como Bien o Revisar. Ajusta las referencias al sector del cliente.</t>
  </si>
  <si>
    <t xml:space="preserve">Hoja Análisis</t>
  </si>
  <si>
    <t xml:space="preserve">Análisis horizontal (variación entre periodos) y vertical (peso de cada cuenta sobre activos o ingresos). Marca las variaciones superiores a 20%.</t>
  </si>
  <si>
    <t xml:space="preserve">Hoja Avanzado</t>
  </si>
  <si>
    <t xml:space="preserve">Capital de trabajo (KTNO y PKT), DuPont, EBITDA normalizado, últimos 12 meses (LTM), deuda neta, covenants y perfil de vencimientos. Requiere los datos adicionales de la hoja Datos (filas 42 a 60).</t>
  </si>
  <si>
    <t xml:space="preserve">Hoja Valor y riesgo</t>
  </si>
  <si>
    <t xml:space="preserve">ROIC y EVA frente al costo de capital, puntaje Altman Z'' (mercados emergentes), punto de equilibrio, calidad de utilidades y pruebas de estrés. Requiere los supuestos de la hoja Datos (filas 61 a 67).</t>
  </si>
  <si>
    <t xml:space="preserve">Hoja Histórico</t>
  </si>
  <si>
    <t xml:space="preserve">Tendencia de 3 años: crecimiento, CAGR, márgenes, conversión a caja y apalancamiento. Se digita con estados de años anteriores.</t>
  </si>
  <si>
    <t xml:space="preserve">3. Hoja Plan de acción</t>
  </si>
  <si>
    <t xml:space="preserve">Para cada indicador en Revisar, busca el área correspondiente y selecciona las palancas de mejora.</t>
  </si>
  <si>
    <t xml:space="preserve">Unidades</t>
  </si>
  <si>
    <t xml:space="preserve">Todo en millones de pesos (COP) salvo que cambies la nota. Los días del periodo se ajustan en Datos (365 para año, 90 para trimestre).</t>
  </si>
  <si>
    <t xml:space="preserve">Código de colores</t>
  </si>
  <si>
    <t xml:space="preserve">Azul = dato que se digita · Negro = fórmula · Fondo amarillo = celda para completar.</t>
  </si>
  <si>
    <t xml:space="preserve">QUÉ PEDIR AL CLIENTE</t>
  </si>
  <si>
    <t xml:space="preserve">Estados financieros</t>
  </si>
  <si>
    <t xml:space="preserve">Balance general y estado de resultados del periodo actual y del anterior (idealmente 3 años) y flujo de caja o, en su defecto, extractos bancarios del periodo.</t>
  </si>
  <si>
    <t xml:space="preserve">Cartera</t>
  </si>
  <si>
    <t xml:space="preserve">Cuentas por cobrar por edades (corriente, 30, 60, 90+ días) y concentración por cliente.</t>
  </si>
  <si>
    <t xml:space="preserve">Inventarios</t>
  </si>
  <si>
    <t xml:space="preserve">Inventario por referencia con rotación, antigüedad y valor; listado de obsoletos o de baja rotación.</t>
  </si>
  <si>
    <t xml:space="preserve">Proveedores y deuda</t>
  </si>
  <si>
    <t xml:space="preserve">Cuentas por pagar con plazos pactados; tabla de obligaciones financieras (saldo, tasa, plazo, cuota).</t>
  </si>
  <si>
    <t xml:space="preserve">Proyecciones</t>
  </si>
  <si>
    <t xml:space="preserve">Presupuesto del año, plan de inversiones y estacionalidad de ventas y recaudos.</t>
  </si>
  <si>
    <t xml:space="preserve">NOTAS Y SUPUESTOS</t>
  </si>
  <si>
    <t xml:space="preserve">Referencias orientativas</t>
  </si>
  <si>
    <t xml:space="preserve">Los valores de referencia de la hoja Indicadores son puntos de partida genéricos, no estándares oficiales. Cada sector (comercio, manufactura, servicios) tiene rangos distintos: ajústalos con datos del sector del cliente.</t>
  </si>
  <si>
    <t xml:space="preserve">Datos de ejemplo</t>
  </si>
  <si>
    <t xml:space="preserve">Cifras ilustrativas creadas por Valorix360 para mostrar el formato esperado; no corresponden a ninguna empresa real.</t>
  </si>
  <si>
    <t xml:space="preserve">Datos del cliente</t>
  </si>
  <si>
    <t xml:space="preserve">Cliente: extraído de PDF · Unidad original: miles de pesos · Cifras en millones de COP · Revisar hoja 'Revisión'</t>
  </si>
  <si>
    <t xml:space="preserve">Concepto</t>
  </si>
  <si>
    <t xml:space="preserve">Periodo actual</t>
  </si>
  <si>
    <t xml:space="preserve">Periodo anterior</t>
  </si>
  <si>
    <t xml:space="preserve">Nota</t>
  </si>
  <si>
    <t xml:space="preserve">BALANCE GENERAL</t>
  </si>
  <si>
    <t xml:space="preserve">Efectivo y equivalentes</t>
  </si>
  <si>
    <t xml:space="preserve">Cuentas por cobrar (clientes)</t>
  </si>
  <si>
    <t xml:space="preserve">Otros activos corrientes</t>
  </si>
  <si>
    <t xml:space="preserve">Total activo corriente</t>
  </si>
  <si>
    <t xml:space="preserve">Activos no corrientes</t>
  </si>
  <si>
    <t xml:space="preserve">Propiedad, planta y equipo, intangibles, etc.</t>
  </si>
  <si>
    <t xml:space="preserve">Total activos</t>
  </si>
  <si>
    <t xml:space="preserve">Obligaciones financieras de corto plazo</t>
  </si>
  <si>
    <t xml:space="preserve">Incluye porción corriente de la deuda de largo plazo</t>
  </si>
  <si>
    <t xml:space="preserve">Proveedores</t>
  </si>
  <si>
    <t xml:space="preserve">Otros pasivos corrientes</t>
  </si>
  <si>
    <t xml:space="preserve">Impuestos por pagar, nómina, anticipos</t>
  </si>
  <si>
    <t xml:space="preserve">Total pasivo corriente</t>
  </si>
  <si>
    <t xml:space="preserve">Pasivo no corriente</t>
  </si>
  <si>
    <t xml:space="preserve">Total pasivos</t>
  </si>
  <si>
    <t xml:space="preserve">Patrimonio</t>
  </si>
  <si>
    <t xml:space="preserve">Control de cuadre (Activos − Pasivos − Patrimonio)</t>
  </si>
  <si>
    <t xml:space="preserve">Debe dar 0; si no, hay un error de digitación</t>
  </si>
  <si>
    <t xml:space="preserve">ESTADO DE RESULTADOS</t>
  </si>
  <si>
    <t xml:space="preserve">Ingresos por ventas</t>
  </si>
  <si>
    <t xml:space="preserve">Costo de ventas</t>
  </si>
  <si>
    <t xml:space="preserve">Gastos operativos (sin depreciación)</t>
  </si>
  <si>
    <t xml:space="preserve">Administración y ventas</t>
  </si>
  <si>
    <t xml:space="preserve">Depreciación y amortización</t>
  </si>
  <si>
    <t xml:space="preserve">Gastos financieros</t>
  </si>
  <si>
    <t xml:space="preserve">Intereses y comisiones</t>
  </si>
  <si>
    <t xml:space="preserve">Impuestos</t>
  </si>
  <si>
    <t xml:space="preserve">Utilidad bruta</t>
  </si>
  <si>
    <t xml:space="preserve">EBITDA</t>
  </si>
  <si>
    <t xml:space="preserve">Utilidad operativa</t>
  </si>
  <si>
    <t xml:space="preserve">Utilidad neta</t>
  </si>
  <si>
    <t xml:space="preserve">FLUJO DE CAJA</t>
  </si>
  <si>
    <t xml:space="preserve">Flujo de caja operativo</t>
  </si>
  <si>
    <t xml:space="preserve">Del estado de flujo de efectivo</t>
  </si>
  <si>
    <t xml:space="preserve">Inversión en activos fijos (Capex)</t>
  </si>
  <si>
    <t xml:space="preserve">Flujo de caja libre</t>
  </si>
  <si>
    <t xml:space="preserve">Servicio de la deuda (capital + intereses)</t>
  </si>
  <si>
    <t xml:space="preserve">Pagos del periodo</t>
  </si>
  <si>
    <t xml:space="preserve">Días del periodo</t>
  </si>
  <si>
    <t xml:space="preserve">365 = año · 90 = trimestre</t>
  </si>
  <si>
    <t xml:space="preserve">DATOS ADICIONALES</t>
  </si>
  <si>
    <t xml:space="preserve">Deuda financiera de largo plazo</t>
  </si>
  <si>
    <t xml:space="preserve">Obligaciones financieras no corrientes</t>
  </si>
  <si>
    <t xml:space="preserve">Gastos no recurrentes (se suman al EBITDA)</t>
  </si>
  <si>
    <t xml:space="preserve">Provisiones extraordinarias, castigos, gastos únicos (ver notas)</t>
  </si>
  <si>
    <t xml:space="preserve">Ingresos no recurrentes (se restan del EBITDA)</t>
  </si>
  <si>
    <t xml:space="preserve">Venta de activos, recuperaciones, diferencia en cambio</t>
  </si>
  <si>
    <t xml:space="preserve">AÑO COMPLETO ANTERIOR (solo si el corte es intermedio, días &lt; 365)</t>
  </si>
  <si>
    <t xml:space="preserve">Ingresos del año completo anterior</t>
  </si>
  <si>
    <t xml:space="preserve">Para calcular los últimos 12 meses (LTM)</t>
  </si>
  <si>
    <t xml:space="preserve">Costo de ventas del año completo anterior</t>
  </si>
  <si>
    <t xml:space="preserve">Gastos operativos (sin D&amp;A) del año completo anterior</t>
  </si>
  <si>
    <t xml:space="preserve">Depreciación y amortización del año completo anterior</t>
  </si>
  <si>
    <t xml:space="preserve">Flujo de caja operativo del año completo anterior</t>
  </si>
  <si>
    <t xml:space="preserve">Utilidad neta del año completo anterior</t>
  </si>
  <si>
    <t xml:space="preserve">COVENANTS Y VENCIMIENTOS DE LA DEUDA (de las notas)</t>
  </si>
  <si>
    <t xml:space="preserve">Endeudamiento máximo pactado (covenant)</t>
  </si>
  <si>
    <t xml:space="preserve">Ejemplo: reemplazar por lo pactado con el banco</t>
  </si>
  <si>
    <t xml:space="preserve">Cobertura mínima del servicio de la deuda</t>
  </si>
  <si>
    <t xml:space="preserve">Ejemplo: reemplazar por lo pactado</t>
  </si>
  <si>
    <t xml:space="preserve">Deuda neta / EBITDA máximo</t>
  </si>
  <si>
    <t xml:space="preserve">Vencimiento de la deuda: año 1 (hasta 12 meses)</t>
  </si>
  <si>
    <t xml:space="preserve">Tabla de vencimientos de la nota de obligaciones</t>
  </si>
  <si>
    <t xml:space="preserve">Vencimiento de la deuda: año 2</t>
  </si>
  <si>
    <t xml:space="preserve">Vencimiento de la deuda: año 3</t>
  </si>
  <si>
    <t xml:space="preserve">Vencimiento de la deuda: año 4 o más</t>
  </si>
  <si>
    <t xml:space="preserve">SUPUESTOS DE VALOR Y RIESGO</t>
  </si>
  <si>
    <t xml:space="preserve">Capital social y primas</t>
  </si>
  <si>
    <t xml:space="preserve">Del PDF (patrimonio). Se usa para estimar utilidades retenidas</t>
  </si>
  <si>
    <t xml:space="preserve">Costo del patrimonio (Ke)</t>
  </si>
  <si>
    <t xml:space="preserve">Ejemplo: definir con CAPM o la expectativa de los socios</t>
  </si>
  <si>
    <t xml:space="preserve">Tasa nominal del impuesto de renta</t>
  </si>
  <si>
    <t xml:space="preserve">Verifica la tarifa vigente antes de usar</t>
  </si>
  <si>
    <t xml:space="preserve">Estrés: caída de ventas</t>
  </si>
  <si>
    <t xml:space="preserve">Supuesto editable de la prueba de estrés</t>
  </si>
  <si>
    <t xml:space="preserve">Estrés: alza de la tasa de interés (puntos)</t>
  </si>
  <si>
    <t xml:space="preserve">Ej.: 0,03 = 3 puntos porcentuales</t>
  </si>
  <si>
    <t xml:space="preserve">Estrés: aumento de días de cartera</t>
  </si>
  <si>
    <t xml:space="preserve">Días adicionales de recaudo</t>
  </si>
  <si>
    <t xml:space="preserve">Indicadores del diagnóstico</t>
  </si>
  <si>
    <t xml:space="preserve">Se calculan desde la hoja Datos · Referencia (azul) editable según sector</t>
  </si>
  <si>
    <t xml:space="preserve">Indicador</t>
  </si>
  <si>
    <t xml:space="preserve">Cómo se calcula</t>
  </si>
  <si>
    <t xml:space="preserve">Actual</t>
  </si>
  <si>
    <t xml:space="preserve">Anterior</t>
  </si>
  <si>
    <t xml:space="preserve">Variación</t>
  </si>
  <si>
    <t xml:space="preserve">Referencia</t>
  </si>
  <si>
    <t xml:space="preserve">Mejor si</t>
  </si>
  <si>
    <t xml:space="preserve">Cómo interpretarlo</t>
  </si>
  <si>
    <t xml:space="preserve">Estado</t>
  </si>
  <si>
    <t xml:space="preserve">LIQUIDEZ</t>
  </si>
  <si>
    <t xml:space="preserve">Razón corriente</t>
  </si>
  <si>
    <t xml:space="preserve">Activo corriente ÷ Pasivo corriente</t>
  </si>
  <si>
    <t xml:space="preserve">Mayor</t>
  </si>
  <si>
    <t xml:space="preserve">Por cada peso de deuda a corto plazo, cuántos pesos de activo corriente hay. Bajo 1,0 hay riesgo de no poder pagar obligaciones inmediatas.</t>
  </si>
  <si>
    <t xml:space="preserve">Prueba ácida</t>
  </si>
  <si>
    <t xml:space="preserve">(Activo corriente − Inventarios) ÷ Pasivo corriente</t>
  </si>
  <si>
    <t xml:space="preserve">Liquidez sin depender de vender inventario. Si es muy menor que la razón corriente, la liquidez está atrapada en bodega.</t>
  </si>
  <si>
    <t xml:space="preserve">Capital de trabajo neto ($M)</t>
  </si>
  <si>
    <t xml:space="preserve">Activo corriente − Pasivo corriente</t>
  </si>
  <si>
    <t xml:space="preserve">Colchón financiero para operar. Negativo implica que se financian activos corrientes con deuda de corto plazo.</t>
  </si>
  <si>
    <t xml:space="preserve">Razón de efectivo</t>
  </si>
  <si>
    <t xml:space="preserve">Efectivo ÷ Pasivo corriente</t>
  </si>
  <si>
    <t xml:space="preserve">Capacidad de pago inmediata solo con caja.</t>
  </si>
  <si>
    <t xml:space="preserve">Calidad de utilidades</t>
  </si>
  <si>
    <t xml:space="preserve">Flujo operativo ÷ Utilidad neta</t>
  </si>
  <si>
    <t xml:space="preserve">Bajo 1,0 la utilidad contable no se está convirtiendo en caja (cartera e inventario absorben el efectivo).</t>
  </si>
  <si>
    <t xml:space="preserve">Flujo de caja libre ($M)</t>
  </si>
  <si>
    <t xml:space="preserve">Flujo operativo − Capex</t>
  </si>
  <si>
    <t xml:space="preserve">Caja disponible tras invertir. Negativo sostenido exige deuda o aportes para crecer.</t>
  </si>
  <si>
    <t xml:space="preserve">Cobertura del servicio de deuda</t>
  </si>
  <si>
    <t xml:space="preserve">Flujo operativo ÷ Servicio de la deuda</t>
  </si>
  <si>
    <t xml:space="preserve">Bajo 1,0 el negocio no genera caja suficiente para pagar su deuda; el banco lo mira de primero.</t>
  </si>
  <si>
    <t xml:space="preserve">Días de caja</t>
  </si>
  <si>
    <t xml:space="preserve">Efectivo ÷ (Costo + Gastos op.) diarios</t>
  </si>
  <si>
    <t xml:space="preserve">Cuántos días podría operar la empresa sin recaudar nada.</t>
  </si>
  <si>
    <t xml:space="preserve">UTILIDADES</t>
  </si>
  <si>
    <t xml:space="preserve">Margen bruto</t>
  </si>
  <si>
    <t xml:space="preserve">Utilidad bruta ÷ Ingresos</t>
  </si>
  <si>
    <t xml:space="preserve">Rentabilidad de producto o servicio antes de gastos. Una caída suele indicar precios bajos o costos de compra altos.</t>
  </si>
  <si>
    <t xml:space="preserve">Margen EBITDA</t>
  </si>
  <si>
    <t xml:space="preserve">EBITDA ÷ Ingresos</t>
  </si>
  <si>
    <t xml:space="preserve">Eficiencia operativa pura, sin efecto de deuda, impuestos ni depreciación.</t>
  </si>
  <si>
    <t xml:space="preserve">Margen neto</t>
  </si>
  <si>
    <t xml:space="preserve">Utilidad neta ÷ Ingresos</t>
  </si>
  <si>
    <t xml:space="preserve">Lo que queda de cada peso vendido tras todos los costos.</t>
  </si>
  <si>
    <t xml:space="preserve">ROE (anualizado)</t>
  </si>
  <si>
    <t xml:space="preserve">Utilidad neta ÷ Patrimonio × 365 ÷ Días</t>
  </si>
  <si>
    <t xml:space="preserve">Retorno para los dueños. Debe superar el costo de oportunidad de su capital.</t>
  </si>
  <si>
    <t xml:space="preserve">ROA (anualizado)</t>
  </si>
  <si>
    <t xml:space="preserve">Utilidad neta ÷ Activos × 365 ÷ Días</t>
  </si>
  <si>
    <t xml:space="preserve">Qué tan bien se usan los activos para generar utilidad.</t>
  </si>
  <si>
    <t xml:space="preserve">INVENTARIOS Y CICLO DE CAJA</t>
  </si>
  <si>
    <t xml:space="preserve">Rotación de inventarios (anualizada)</t>
  </si>
  <si>
    <t xml:space="preserve">Costo de ventas ÷ Inventarios × 365 ÷ Días</t>
  </si>
  <si>
    <t xml:space="preserve">Veces que se renueva el inventario al año. Baja rotación = capital inmovilizado y riesgo de obsolescencia.</t>
  </si>
  <si>
    <t xml:space="preserve">Días de inventario</t>
  </si>
  <si>
    <t xml:space="preserve">Inventarios ÷ Costo de ventas × Días</t>
  </si>
  <si>
    <t xml:space="preserve">Menor</t>
  </si>
  <si>
    <t xml:space="preserve">Tiempo promedio que la mercancía espera antes de venderse.</t>
  </si>
  <si>
    <t xml:space="preserve">Días de cartera</t>
  </si>
  <si>
    <t xml:space="preserve">Cuentas por cobrar ÷ Ingresos × Días</t>
  </si>
  <si>
    <t xml:space="preserve">Plazo real de recaudo. Compáralo con el plazo que otorga la empresa.</t>
  </si>
  <si>
    <t xml:space="preserve">Días de proveedores</t>
  </si>
  <si>
    <t xml:space="preserve">Proveedores ÷ Costo de ventas × Días</t>
  </si>
  <si>
    <t xml:space="preserve">Plazo real de pago. Más plazo ayuda a la caja, pero sin dañar la relación ni perder descuentos.</t>
  </si>
  <si>
    <t xml:space="preserve">Ciclo de conversión de efectivo</t>
  </si>
  <si>
    <t xml:space="preserve">Días inventario + Días cartera − Días proveedores</t>
  </si>
  <si>
    <t xml:space="preserve">Días que la empresa financia su operación. Reducirlo libera caja sin pedir deuda.</t>
  </si>
  <si>
    <t xml:space="preserve">ENDEUDAMIENTO</t>
  </si>
  <si>
    <t xml:space="preserve">Endeudamiento total</t>
  </si>
  <si>
    <t xml:space="preserve">Pasivos totales ÷ Activos totales</t>
  </si>
  <si>
    <t xml:space="preserve">Proporción de los activos financiada con terceros.</t>
  </si>
  <si>
    <t xml:space="preserve">Cobertura de intereses</t>
  </si>
  <si>
    <t xml:space="preserve">Utilidad operativa ÷ Gastos financieros</t>
  </si>
  <si>
    <t xml:space="preserve">Qué tanto cubre la utilidad operativa el costo financiero.</t>
  </si>
  <si>
    <t xml:space="preserve">Nota: las referencias son orientativas y deben ajustarse al sector del cliente. Variación = cambio relativo frente al periodo anterior.</t>
  </si>
  <si>
    <t xml:space="preserve">Análisis horizontal y vertical</t>
  </si>
  <si>
    <t xml:space="preserve">Cambio entre periodos y peso de cada cuenta · desde la hoja Datos</t>
  </si>
  <si>
    <t xml:space="preserve">Variación $M</t>
  </si>
  <si>
    <t xml:space="preserve">Variación %</t>
  </si>
  <si>
    <t xml:space="preserve">% Actual</t>
  </si>
  <si>
    <t xml:space="preserve">% Anterior</t>
  </si>
  <si>
    <t xml:space="preserve">Alerta</t>
  </si>
  <si>
    <t xml:space="preserve">BALANCE GENERAL · vertical sobre activos totales</t>
  </si>
  <si>
    <t xml:space="preserve">Cuentas por cobrar</t>
  </si>
  <si>
    <t xml:space="preserve">ESTADO DE RESULTADOS · vertical sobre ingresos</t>
  </si>
  <si>
    <t xml:space="preserve">Gastos operativos (sin D&amp;A)</t>
  </si>
  <si>
    <t xml:space="preserve">FLUJO DE CAJA · vertical sobre ingresos</t>
  </si>
  <si>
    <t xml:space="preserve">En cortes intermedios el balance se compara contra el cierre anterior y el estado de resultados contra el mismo periodo del año previo. Variación fuerte = cambio superior a 20%.</t>
  </si>
  <si>
    <t xml:space="preserve">Análisis avanzado</t>
  </si>
  <si>
    <t xml:space="preserve">Capital de trabajo · DuPont · EBITDA normalizado · LTM · Deuda y covenants</t>
  </si>
  <si>
    <t xml:space="preserve">Cómo leerlo</t>
  </si>
  <si>
    <t xml:space="preserve">CAPITAL DE TRABAJO NETO OPERATIVO (KTNO)</t>
  </si>
  <si>
    <t xml:space="preserve">KTNO = Cartera + Inventarios − Proveedores</t>
  </si>
  <si>
    <t xml:space="preserve">Dinero que la operación mantiene inmovilizado para vender a crédito y tener inventario.</t>
  </si>
  <si>
    <t xml:space="preserve">Ventas anualizadas</t>
  </si>
  <si>
    <t xml:space="preserve">Ingresos del periodo llevados a 12 meses con los días del periodo.</t>
  </si>
  <si>
    <t xml:space="preserve">PKT = KTNO ÷ Ventas anualizadas</t>
  </si>
  <si>
    <t xml:space="preserve">Centavos de caja que cada peso de ventas mantiene atrapados en la operación. Menor es mejor.</t>
  </si>
  <si>
    <t xml:space="preserve">KTNO en días de ventas</t>
  </si>
  <si>
    <t xml:space="preserve">Días de ventas que equivale el capital de trabajo operativo.</t>
  </si>
  <si>
    <t xml:space="preserve">Caja consumida por cada $1 de crecimiento de ventas</t>
  </si>
  <si>
    <t xml:space="preserve">Si supera el PKT, crecer está consumiendo más caja que el promedio del negocio.</t>
  </si>
  <si>
    <t xml:space="preserve">DUPONT · de dónde viene el retorno (anualizado)</t>
  </si>
  <si>
    <t xml:space="preserve">Eficiencia: cuánto queda de cada peso vendido.</t>
  </si>
  <si>
    <t xml:space="preserve">Rotación de activos</t>
  </si>
  <si>
    <t xml:space="preserve">Productividad: cuántos pesos de ventas genera cada peso de activos.</t>
  </si>
  <si>
    <t xml:space="preserve">Apalancamiento (Activos ÷ Patrimonio)</t>
  </si>
  <si>
    <t xml:space="preserve">Cuánto del retorno se debe a financiarse con deuda.</t>
  </si>
  <si>
    <t xml:space="preserve">ROE = Margen × Rotación × Apalancamiento</t>
  </si>
  <si>
    <t xml:space="preserve">Si el ROE depende sobre todo del apalancamiento, el retorno es más frágil.</t>
  </si>
  <si>
    <t xml:space="preserve">EBITDA NORMALIZADO</t>
  </si>
  <si>
    <t xml:space="preserve">EBITDA reportado</t>
  </si>
  <si>
    <t xml:space="preserve">(+) Gastos no recurrentes</t>
  </si>
  <si>
    <t xml:space="preserve">Provisiones o gastos únicos: se suman.</t>
  </si>
  <si>
    <t xml:space="preserve">(−) Ingresos no recurrentes</t>
  </si>
  <si>
    <t xml:space="preserve">Ingresos únicos: se restan.</t>
  </si>
  <si>
    <t xml:space="preserve">EBITDA normalizado</t>
  </si>
  <si>
    <t xml:space="preserve">Base más fiel de la capacidad recurrente de generar caja.</t>
  </si>
  <si>
    <t xml:space="preserve">Margen EBITDA normalizado</t>
  </si>
  <si>
    <t xml:space="preserve">ÚLTIMOS 12 MESES (LTM) · Actual = LTM · Anterior = año completo anterior</t>
  </si>
  <si>
    <t xml:space="preserve">Ingresos</t>
  </si>
  <si>
    <t xml:space="preserve">LTM = año anterior + acumulado actual − acumulado del mismo periodo anterior. Evita comparar medio año con año completo.</t>
  </si>
  <si>
    <t xml:space="preserve">Base para los indicadores de deuda cuando el corte es intermedio.</t>
  </si>
  <si>
    <t xml:space="preserve">Margen EBITDA LTM</t>
  </si>
  <si>
    <t xml:space="preserve">DEUDA FINANCIERA</t>
  </si>
  <si>
    <t xml:space="preserve">Deuda de corto plazo</t>
  </si>
  <si>
    <t xml:space="preserve">Deuda de largo plazo</t>
  </si>
  <si>
    <t xml:space="preserve">Deuda financiera total</t>
  </si>
  <si>
    <t xml:space="preserve">Deuda neta (deuda − efectivo)</t>
  </si>
  <si>
    <t xml:space="preserve">Deuda neta ÷ EBITDA (LTM)</t>
  </si>
  <si>
    <t xml:space="preserve">Años de EBITDA que tomaría pagar la deuda neta. Los bancos suelen mirar este indicador de primero.</t>
  </si>
  <si>
    <t xml:space="preserve">Deuda total ÷ EBITDA (LTM)</t>
  </si>
  <si>
    <t xml:space="preserve">Cobertura del servicio de la deuda (flujo operativo ÷ pagos)</t>
  </si>
  <si>
    <t xml:space="preserve">Bajo 1,0x el negocio no genera caja suficiente para atender su deuda.</t>
  </si>
  <si>
    <t xml:space="preserve">Costo promedio de la deuda (anualizado)</t>
  </si>
  <si>
    <t xml:space="preserve">Gastos financieros anualizados ÷ deuda promedio. Compáralo con la tasa vigente del mercado.</t>
  </si>
  <si>
    <t xml:space="preserve">% de la deuda en corto plazo</t>
  </si>
  <si>
    <t xml:space="preserve">Una proporción alta presiona la caja del próximo año.</t>
  </si>
  <si>
    <t xml:space="preserve">Endeudamiento total (Pasivos ÷ Activos)</t>
  </si>
  <si>
    <t xml:space="preserve">PRUEBA DE COVENANTS</t>
  </si>
  <si>
    <t xml:space="preserve">Covenant</t>
  </si>
  <si>
    <t xml:space="preserve">Límite pactado</t>
  </si>
  <si>
    <t xml:space="preserve">Resultado</t>
  </si>
  <si>
    <t xml:space="preserve">Endeudamiento total (máximo)</t>
  </si>
  <si>
    <t xml:space="preserve">Deuda neta ÷ EBITDA (máximo)</t>
  </si>
  <si>
    <t xml:space="preserve">Cobertura del servicio de la deuda (mínimo)</t>
  </si>
  <si>
    <t xml:space="preserve">PERFIL DE VENCIMIENTOS DE LA DEUDA</t>
  </si>
  <si>
    <t xml:space="preserve">Vencimiento</t>
  </si>
  <si>
    <t xml:space="preserve">Monto ($M)</t>
  </si>
  <si>
    <t xml:space="preserve">% del total</t>
  </si>
  <si>
    <t xml:space="preserve">Lectura</t>
  </si>
  <si>
    <t xml:space="preserve">Año 1 (hasta 12 meses)</t>
  </si>
  <si>
    <t xml:space="preserve">Año 2</t>
  </si>
  <si>
    <t xml:space="preserve">Año 3</t>
  </si>
  <si>
    <t xml:space="preserve">Año 4 o más</t>
  </si>
  <si>
    <t xml:space="preserve">Total vencimientos</t>
  </si>
  <si>
    <t xml:space="preserve">Todos los cálculos son aritmética sobre los datos cargados. Las referencias y covenants de ejemplo deben reemplazarse por los reales del cliente.</t>
  </si>
  <si>
    <t xml:space="preserve">Valor y riesgo</t>
  </si>
  <si>
    <t xml:space="preserve">ROIC y EVA · Altman Z'' · Punto de equilibrio · Calidad de utilidades · Pruebas de estrés</t>
  </si>
  <si>
    <t xml:space="preserve">CREACIÓN DE VALOR · ROIC y EVA</t>
  </si>
  <si>
    <t xml:space="preserve">Utilidad operativa anualizada</t>
  </si>
  <si>
    <t xml:space="preserve">EBIT llevado a 12 meses con los días del periodo.</t>
  </si>
  <si>
    <t xml:space="preserve">Tasa efectiva de impuestos</t>
  </si>
  <si>
    <t xml:space="preserve">Impuestos ÷ utilidad antes de impuestos.</t>
  </si>
  <si>
    <t xml:space="preserve">NOPAT (utilidad operativa después de impuestos)</t>
  </si>
  <si>
    <t xml:space="preserve">Capital invertido (patrimonio + deuda financiera − efectivo)</t>
  </si>
  <si>
    <t xml:space="preserve">Capital que financia la operación.</t>
  </si>
  <si>
    <t xml:space="preserve">ROIC</t>
  </si>
  <si>
    <t xml:space="preserve">Retorno de la operación sobre el capital invertido.</t>
  </si>
  <si>
    <t xml:space="preserve">Peso de la deuda en el capital</t>
  </si>
  <si>
    <t xml:space="preserve">Costo de la deuda (Kd)</t>
  </si>
  <si>
    <t xml:space="preserve">Del análisis de deuda: gastos financieros ÷ deuda promedio.</t>
  </si>
  <si>
    <t xml:space="preserve">WACC (costo promedio de capital)</t>
  </si>
  <si>
    <t xml:space="preserve">Requiere el costo del patrimonio (Ke) en la hoja Datos.</t>
  </si>
  <si>
    <t xml:space="preserve">Spread (ROIC − WACC)</t>
  </si>
  <si>
    <t xml:space="preserve">Positivo: la empresa crea valor. Negativo: lo destruye aunque tenga utilidad contable.</t>
  </si>
  <si>
    <t xml:space="preserve">EVA ($M anualizado)</t>
  </si>
  <si>
    <t xml:space="preserve">Valor económico creado después de remunerar a deuda y patrimonio.</t>
  </si>
  <si>
    <t xml:space="preserve">RIESGO DE QUIEBRA · Altman Z'' (mercados emergentes)</t>
  </si>
  <si>
    <t xml:space="preserve">X1 · Capital de trabajo ÷ Activos</t>
  </si>
  <si>
    <t xml:space="preserve">Liquidez.</t>
  </si>
  <si>
    <t xml:space="preserve">X2 · Utilidades retenidas ÷ Activos</t>
  </si>
  <si>
    <t xml:space="preserve">Utilidades retenidas estimadas como patrimonio − capital social.</t>
  </si>
  <si>
    <t xml:space="preserve">X3 · EBIT anualizado ÷ Activos</t>
  </si>
  <si>
    <t xml:space="preserve">Rentabilidad operativa.</t>
  </si>
  <si>
    <t xml:space="preserve">X4 · Patrimonio ÷ Pasivos</t>
  </si>
  <si>
    <t xml:space="preserve">Solvencia.</t>
  </si>
  <si>
    <t xml:space="preserve">Z'' = 3,25 + 6,56·X1 + 3,26·X2 + 6,72·X3 + 1,05·X4</t>
  </si>
  <si>
    <t xml:space="preserve">Mayor a 5,85 zona segura; entre 4,15 y 5,85 zona gris; menor a 4,15 zona de riesgo.</t>
  </si>
  <si>
    <t xml:space="preserve">Zona</t>
  </si>
  <si>
    <t xml:space="preserve">Referencia académica: úsala como señal de alerta, no como sentencia.</t>
  </si>
  <si>
    <t xml:space="preserve">PUNTO DE EQUILIBRIO (supuesto: costo de ventas variable; gastos operativos, D&amp;A y financieros fijos)</t>
  </si>
  <si>
    <t xml:space="preserve">Margen de contribución</t>
  </si>
  <si>
    <t xml:space="preserve">Lo que cada peso vendido aporta para cubrir costos fijos.</t>
  </si>
  <si>
    <t xml:space="preserve">Costos fijos anualizados</t>
  </si>
  <si>
    <t xml:space="preserve">Ventas de equilibrio (anualizadas)</t>
  </si>
  <si>
    <t xml:space="preserve">Ventas mínimas para no perder.</t>
  </si>
  <si>
    <t xml:space="preserve">Margen de seguridad</t>
  </si>
  <si>
    <t xml:space="preserve">Cuánto pueden caer las ventas antes de entrar en pérdida.</t>
  </si>
  <si>
    <t xml:space="preserve">Grado de apalancamiento operativo</t>
  </si>
  <si>
    <t xml:space="preserve">Veces que cambia la utilidad operativa por cada cambio de 1% en ventas.</t>
  </si>
  <si>
    <t xml:space="preserve">CALIDAD DE UTILIDADES</t>
  </si>
  <si>
    <t xml:space="preserve">Accruals (utilidad neta − flujo operativo) ÷ Activos</t>
  </si>
  <si>
    <t xml:space="preserve">Alto y positivo: la utilidad contable no se está convirtiendo en caja.</t>
  </si>
  <si>
    <t xml:space="preserve">Conversión: flujo de caja libre ÷ utilidad neta</t>
  </si>
  <si>
    <t xml:space="preserve">Tasa efectiva menos tasa nominal de renta</t>
  </si>
  <si>
    <t xml:space="preserve">Una diferencia grande merece revisión en las notas de impuestos (diferidos, descuentos, pérdidas fiscales).</t>
  </si>
  <si>
    <t xml:space="preserve">PRUEBAS DE ESTRÉS · Base frente a escenario adverso</t>
  </si>
  <si>
    <t xml:space="preserve">Base</t>
  </si>
  <si>
    <t xml:space="preserve">Estrés</t>
  </si>
  <si>
    <t xml:space="preserve">Supuestos (editables en la hoja Datos, filas 65 a 67)</t>
  </si>
  <si>
    <t xml:space="preserve">Caída de ventas del escenario.</t>
  </si>
  <si>
    <t xml:space="preserve">EBITDA anualizado</t>
  </si>
  <si>
    <t xml:space="preserve">Los gastos operativos se mantienen fijos; el costo de ventas baja con las ventas.</t>
  </si>
  <si>
    <t xml:space="preserve">Gastos financieros anualizados</t>
  </si>
  <si>
    <t xml:space="preserve">Suma el efecto de la alza de tasa sobre toda la deuda.</t>
  </si>
  <si>
    <t xml:space="preserve">Cobertura de intereses (utilidad operativa ÷ gastos financieros)</t>
  </si>
  <si>
    <t xml:space="preserve">Bajo 1,5x el negocio queda muy expuesto.</t>
  </si>
  <si>
    <t xml:space="preserve">Deuda neta ÷ EBITDA</t>
  </si>
  <si>
    <t xml:space="preserve">Caja absorbida por mayor plazo de cartera</t>
  </si>
  <si>
    <t xml:space="preserve">Dinero adicional que quedaría inmovilizado en cartera.</t>
  </si>
  <si>
    <t xml:space="preserve">Prueba del covenant de deuda neta ÷ EBITDA</t>
  </si>
  <si>
    <t xml:space="preserve">Compara contra el límite pactado de la hoja Datos.</t>
  </si>
  <si>
    <t xml:space="preserve">Modelo simplificado: no sustituye un modelo financiero completo. Los supuestos de estrés deben ajustarse al sector del cliente.</t>
  </si>
  <si>
    <t xml:space="preserve">Histórico de 3 años</t>
  </si>
  <si>
    <t xml:space="preserve">Se digita con los estados de años anteriores (millones de COP) · datos de ejemplo</t>
  </si>
  <si>
    <t xml:space="preserve">Año (editable) →</t>
  </si>
  <si>
    <t xml:space="preserve">Tendencia / CAGR</t>
  </si>
  <si>
    <t xml:space="preserve">DATOS ANUALES</t>
  </si>
  <si>
    <t xml:space="preserve">Efectivo</t>
  </si>
  <si>
    <t xml:space="preserve">Activos totales</t>
  </si>
  <si>
    <t xml:space="preserve">Deuda financiera</t>
  </si>
  <si>
    <t xml:space="preserve">INDICADORES CALCULADOS</t>
  </si>
  <si>
    <t xml:space="preserve">Crecimiento anual de ingresos</t>
  </si>
  <si>
    <t xml:space="preserve">Conversión a caja (flujo operativo ÷ utilidad neta)</t>
  </si>
  <si>
    <t xml:space="preserve">ROE</t>
  </si>
  <si>
    <t xml:space="preserve">Para el último año usa el cierre anual (no el corte intermedio). Las cifras de ejemplo son ilustrativas.</t>
  </si>
  <si>
    <t xml:space="preserve">Plan de acción por área</t>
  </si>
  <si>
    <t xml:space="preserve">Palancas de mejora según la señal de alerta detectada en Indicadores</t>
  </si>
  <si>
    <t xml:space="preserve">Área</t>
  </si>
  <si>
    <t xml:space="preserve">Señal de alerta</t>
  </si>
  <si>
    <t xml:space="preserve">Acciones recomendadas</t>
  </si>
  <si>
    <t xml:space="preserve">Impacto esperado</t>
  </si>
  <si>
    <t xml:space="preserve">Liquidez</t>
  </si>
  <si>
    <t xml:space="preserve">Razón corriente baja, capital de trabajo negativo o prueba ácida muy inferior a la razón corriente</t>
  </si>
  <si>
    <t xml:space="preserve">Pasar deuda de corto a largo plazo; abrir una línea de crédito rotativa; liberar caja de cartera e inventario; posponer inversiones no críticas.</t>
  </si>
  <si>
    <t xml:space="preserve">Mayor holgura para pagar obligaciones y menos riesgo de iliquidez.</t>
  </si>
  <si>
    <t xml:space="preserve">Flujo de caja</t>
  </si>
  <si>
    <t xml:space="preserve">Flujo operativo menor que la utilidad neta, o cobertura de deuda cercana a 1</t>
  </si>
  <si>
    <t xml:space="preserve">Política de cobro (descuento por pronto pago, facturación anticipada, cobro por edades); negociar plazos con proveedores; proyección de caja semanal a 13 semanas.</t>
  </si>
  <si>
    <t xml:space="preserve">Utilidad que sí se convierte en efectivo; menos dependencia del crédito.</t>
  </si>
  <si>
    <t xml:space="preserve">Días de cartera por encima del plazo otorgado o concentración en pocos clientes</t>
  </si>
  <si>
    <t xml:space="preserve">Segmentar clientes por riesgo; cupos de crédito; gestión de cobro proactiva; factoring selectivo; diversificar la base de clientes.</t>
  </si>
  <si>
    <t xml:space="preserve">Menor ciclo de caja y menor pérdida por incobrables.</t>
  </si>
  <si>
    <t xml:space="preserve">Días de inventario altos, rotación baja, referencias obsoletas</t>
  </si>
  <si>
    <t xml:space="preserve">Clasificación ABC; liquidar obsoletos; puntos de reorden y stock de seguridad; compras ligadas a demanda proyectada; consignación con proveedores clave.</t>
  </si>
  <si>
    <t xml:space="preserve">Capital liberado y menores costos de bodegaje y obsolescencia.</t>
  </si>
  <si>
    <t xml:space="preserve">Utilidades</t>
  </si>
  <si>
    <t xml:space="preserve">Margen bruto o EBITDA en caída frente al periodo anterior</t>
  </si>
  <si>
    <t xml:space="preserve">Revisar precios y mezcla de productos; renegociar costos de compra; análisis de rentabilidad por cliente y producto; recortar gastos no esenciales.</t>
  </si>
  <si>
    <t xml:space="preserve">Mejor margen sin depender solo de vender más.</t>
  </si>
  <si>
    <t xml:space="preserve">Endeudamiento</t>
  </si>
  <si>
    <t xml:space="preserve">Endeudamiento sobre la referencia o cobertura de intereses baja</t>
  </si>
  <si>
    <t xml:space="preserve">Reperfilar la deuda (plazo y tasa); capitalizar utilidades; prepagar la deuda más cara; evitar deuda de corto plazo para activos de largo plazo.</t>
  </si>
  <si>
    <t xml:space="preserve">Menor costo financiero y mayor capacidad de crédito futura.</t>
  </si>
  <si>
    <t xml:space="preserve">Revisión de la extracción</t>
  </si>
  <si>
    <t xml:space="preserve">AVISOS</t>
  </si>
  <si>
    <t xml:space="preserve">Periodos detectados (columnas): [2026, 2025] · actual = 2026</t>
  </si>
  <si>
    <t xml:space="preserve">Fecha de corte del estado de resultados: 2026-06-30 -&gt; días del periodo 181. Si el corte es intermedio, compara contra el MISMO periodo del año anterior.</t>
  </si>
  <si>
    <t xml:space="preserve">VALIDACIONES CONTABLES (millones COP)</t>
  </si>
  <si>
    <t xml:space="preserve">Validación</t>
  </si>
  <si>
    <t xml:space="preserve">Valor A</t>
  </si>
  <si>
    <t xml:space="preserve">Valor B</t>
  </si>
  <si>
    <t xml:space="preserve">Activos = Pasivos + Patrimonio (actual)</t>
  </si>
  <si>
    <t xml:space="preserve">OK</t>
  </si>
  <si>
    <t xml:space="preserve">Total activos = AC + ANC (actual)</t>
  </si>
  <si>
    <t xml:space="preserve">Utilidad bruta = Ingresos − Costo (actual)</t>
  </si>
  <si>
    <t xml:space="preserve">Utilidad neta reportada = calculada por la plantilla (actual)</t>
  </si>
  <si>
    <t xml:space="preserve">Activos = Pasivos + Patrimonio (anterior)</t>
  </si>
  <si>
    <t xml:space="preserve">Total activos = AC + ANC (anterior)</t>
  </si>
  <si>
    <t xml:space="preserve">Utilidad bruta = Ingresos − Costo (anterior)</t>
  </si>
  <si>
    <t xml:space="preserve">Utilidad neta reportada = calculada por la plantilla (anterior)</t>
  </si>
  <si>
    <t xml:space="preserve">DATOS CARGADOS EN LA PLANTILLA</t>
  </si>
  <si>
    <t xml:space="preserve">Dato</t>
  </si>
  <si>
    <t xml:space="preserve">Origen / observación</t>
  </si>
  <si>
    <t xml:space="preserve">Directo del PDF</t>
  </si>
  <si>
    <t xml:space="preserve">Derivado: total activo corriente − efectivo − cartera − inventarios</t>
  </si>
  <si>
    <t xml:space="preserve">Total activo no corriente del PDF</t>
  </si>
  <si>
    <t xml:space="preserve">Derivado: total pasivo corriente − obligaciones financieras − proveedores</t>
  </si>
  <si>
    <t xml:space="preserve">Total pasivo no corriente del PDF</t>
  </si>
  <si>
    <t xml:space="preserve">Gastos de administración + ventas − depreciación y amortización (del flujo de efectivo): se asume que la D&amp;A está dentro de los gastos. Verifica en las notas.</t>
  </si>
  <si>
    <t xml:space="preserve">Pagos de capital + intereses pagados (flujo de efectivo)</t>
  </si>
  <si>
    <t xml:space="preserve">Días desde el 1 de enero hasta la fecha de corte. Confirma que la columna anterior sea el MISMO periodo del año previo.</t>
  </si>
  <si>
    <t xml:space="preserve">Obligaciones financieras no corrientes del PDF</t>
  </si>
  <si>
    <t xml:space="preserve">Capital social del PDF</t>
  </si>
  <si>
    <t xml:space="preserve">DATOS PARA DIGITAR A MANO (hoja Datos, celdas en rojo)</t>
  </si>
  <si>
    <t xml:space="preserve">Fila en Datos</t>
  </si>
  <si>
    <t xml:space="preserve">Para qué se usa</t>
  </si>
  <si>
    <t xml:space="preserve">LTM</t>
  </si>
  <si>
    <t xml:space="preserve">D&amp;A del año completo anterior</t>
  </si>
  <si>
    <t xml:space="preserve">Covenants (nota de obligaciones)</t>
  </si>
  <si>
    <t xml:space="preserve">Covenants</t>
  </si>
  <si>
    <t xml:space="preserve">Vencimiento de la deuda: año 1</t>
  </si>
  <si>
    <t xml:space="preserve">Perfil de vencimientos</t>
  </si>
  <si>
    <t xml:space="preserve">WACC y EVA (hoja Valor y riesgo)</t>
  </si>
  <si>
    <t xml:space="preserve">Gastos e ingresos no recurrentes quedan en 0: ajústalos si las notas revelan partidas únicas.</t>
  </si>
  <si>
    <t xml:space="preserve">LÍNEAS DEL PDF SIN MAPEAR (revisar si alguna es relevante)</t>
  </si>
  <si>
    <t xml:space="preserve">Etiqueta</t>
  </si>
  <si>
    <t xml:space="preserve">Valor 1</t>
  </si>
  <si>
    <t xml:space="preserve">Valor 2</t>
  </si>
  <si>
    <t xml:space="preserve">Sección</t>
  </si>
  <si>
    <t xml:space="preserve">Grupo</t>
  </si>
  <si>
    <t xml:space="preserve">Página</t>
  </si>
  <si>
    <t xml:space="preserve">bal</t>
  </si>
  <si>
    <t xml:space="preserve">ac</t>
  </si>
  <si>
    <t xml:space="preserve">Propiedades, planta y equipo</t>
  </si>
  <si>
    <t xml:space="preserve">anc</t>
  </si>
  <si>
    <t xml:space="preserve">Intangibles</t>
  </si>
  <si>
    <t xml:space="preserve">Impuestos por pagar</t>
  </si>
  <si>
    <t xml:space="preserve">pc</t>
  </si>
  <si>
    <t xml:space="preserve">Otros pasivos</t>
  </si>
  <si>
    <t xml:space="preserve">Resultados acumulados</t>
  </si>
  <si>
    <t xml:space="preserve">pat</t>
  </si>
  <si>
    <t xml:space="preserve">Resultado del ejercicio</t>
  </si>
  <si>
    <t xml:space="preserve">Ingresos financieros</t>
  </si>
  <si>
    <t xml:space="preserve">er</t>
  </si>
  <si>
    <t xml:space="preserve">cf</t>
  </si>
  <si>
    <t xml:space="preserve">LÍNEAS MAPEADAS (trazabilidad)</t>
  </si>
  <si>
    <t xml:space="preserve">Etiqueta en el PDF</t>
  </si>
  <si>
    <t xml:space="preserve">Clave</t>
  </si>
  <si>
    <t xml:space="preserve">Confianza</t>
  </si>
  <si>
    <t xml:space="preserve">Método</t>
  </si>
  <si>
    <t xml:space="preserve">Efectivo y equivalentes de efectivo</t>
  </si>
  <si>
    <t xml:space="preserve">efectivo</t>
  </si>
  <si>
    <t xml:space="preserve">exacto</t>
  </si>
  <si>
    <t xml:space="preserve">Deudores comerciales y otras cuentas por cobrar</t>
  </si>
  <si>
    <t xml:space="preserve">cxc</t>
  </si>
  <si>
    <t xml:space="preserve">inventarios</t>
  </si>
  <si>
    <t xml:space="preserve">total_ac</t>
  </si>
  <si>
    <t xml:space="preserve">Total activo no corriente</t>
  </si>
  <si>
    <t xml:space="preserve">total_anc</t>
  </si>
  <si>
    <t xml:space="preserve">total_activos</t>
  </si>
  <si>
    <t xml:space="preserve">Obligaciones financieras</t>
  </si>
  <si>
    <t xml:space="preserve">oblig_cp</t>
  </si>
  <si>
    <t xml:space="preserve">proveedores</t>
  </si>
  <si>
    <t xml:space="preserve">total_pc</t>
  </si>
  <si>
    <t xml:space="preserve">oblig_lp</t>
  </si>
  <si>
    <t xml:space="preserve">Total pasivo no corriente</t>
  </si>
  <si>
    <t xml:space="preserve">total_pnc</t>
  </si>
  <si>
    <t xml:space="preserve">total_pasivos</t>
  </si>
  <si>
    <t xml:space="preserve">Capital social</t>
  </si>
  <si>
    <t xml:space="preserve">capital</t>
  </si>
  <si>
    <t xml:space="preserve">Total patrimonio</t>
  </si>
  <si>
    <t xml:space="preserve">patrimonio</t>
  </si>
  <si>
    <t xml:space="preserve">Total pasivos y patrimonio</t>
  </si>
  <si>
    <t xml:space="preserve">total_pas_pat</t>
  </si>
  <si>
    <t xml:space="preserve">Ingresos de actividades ordinarias</t>
  </si>
  <si>
    <t xml:space="preserve">ingresos</t>
  </si>
  <si>
    <t xml:space="preserve">costo</t>
  </si>
  <si>
    <t xml:space="preserve">utilidad_bruta</t>
  </si>
  <si>
    <t xml:space="preserve">Gastos de administración</t>
  </si>
  <si>
    <t xml:space="preserve">gastos_op</t>
  </si>
  <si>
    <t xml:space="preserve">Gastos de ventas</t>
  </si>
  <si>
    <t xml:space="preserve">utilidad_operativa</t>
  </si>
  <si>
    <t xml:space="preserve">gastos_fin</t>
  </si>
  <si>
    <t xml:space="preserve">Gasto por impuesto de renta</t>
  </si>
  <si>
    <t xml:space="preserve">impuestos</t>
  </si>
  <si>
    <t xml:space="preserve">utilidad_neta</t>
  </si>
  <si>
    <t xml:space="preserve">da</t>
  </si>
  <si>
    <t xml:space="preserve">Flujo de efectivo neto de actividades de operación</t>
  </si>
  <si>
    <t xml:space="preserve">cfo</t>
  </si>
  <si>
    <t xml:space="preserve">Adquisición de propiedades, planta y equipo</t>
  </si>
  <si>
    <t xml:space="preserve">capex</t>
  </si>
  <si>
    <t xml:space="preserve">Pago de obligaciones financieras</t>
  </si>
  <si>
    <t xml:space="preserve">pago_capital</t>
  </si>
  <si>
    <t xml:space="preserve">Intereses pagados</t>
  </si>
  <si>
    <t xml:space="preserve">intereses_pagados</t>
  </si>
  <si>
    <t xml:space="preserve">Notas a los estados financieros (segmentadas y clasificadas)</t>
  </si>
  <si>
    <t xml:space="preserve">Título</t>
  </si>
  <si>
    <t xml:space="preserve">Temas detectados</t>
  </si>
  <si>
    <t xml:space="preserve">Texto</t>
  </si>
  <si>
    <t xml:space="preserve">Entidad reportante</t>
  </si>
  <si>
    <t xml:space="preserve">La Compañía es una sociedad por acciones simplificada dedicada a la comercialización de productos de consumo masivo.</t>
  </si>
  <si>
    <t xml:space="preserve">Deudores comerciales</t>
  </si>
  <si>
    <t xml:space="preserve">La cartera por edades muestra que el 18% supera 90 dias. El deterioro de cartera acumulado asciende a 95.000 (miles).</t>
  </si>
  <si>
    <t xml:space="preserve">Cartera, Inventarios</t>
  </si>
  <si>
    <t xml:space="preserve">Se reconoce deterioro por obsolescencia de inventarios de baja rotacion por 60.000 (miles).</t>
  </si>
  <si>
    <t xml:space="preserve">Deuda y garantías</t>
  </si>
  <si>
    <t xml:space="preserve">Credito con tasa IBR + 6% E.A. y vencimiento final en 2029. Garantia prendaria sobre maquinaria. Incluye covenant de endeudamiento maximo 65%.</t>
  </si>
  <si>
    <t xml:space="preserve">Contingencias</t>
  </si>
  <si>
    <t xml:space="preserve">Existe un proceso laboral en contra de la Compañia por 85.000 (miles) calificado como probable.</t>
  </si>
  <si>
    <t xml:space="preserve">Partes relacionadas</t>
  </si>
  <si>
    <t xml:space="preserve">Deuda y garantías, Partes relacionadas</t>
  </si>
  <si>
    <t xml:space="preserve">Prestamos de accionistas por 120.000 (miles) a tasa de mercado.</t>
  </si>
  <si>
    <t xml:space="preserve">Hechos posteriores</t>
  </si>
  <si>
    <t xml:space="preserve">No se presentaron hechos posteriores relevantes al cierre.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</si>
</sst>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0.0%"/>
    <numFmt numFmtId="167" formatCode="0.00\x"/>
    <numFmt numFmtId="168" formatCode="0"/>
    <numFmt numFmtId="169" formatCode="\+0.0%;\-0.0%;\-"/>
    <numFmt numFmtId="170" formatCode="0.0&quot; días&quot;"/>
    <numFmt numFmtId="171" formatCode="0.00"/>
    <numFmt numFmtId="172" formatCode="0.0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B1220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4748B"/>
      <name val="Arial"/>
      <family val="0"/>
      <charset val="1"/>
    </font>
    <font>
      <sz val="9"/>
      <color rgb="FFC2410C"/>
      <name val="Arial"/>
      <family val="0"/>
      <charset val="1"/>
    </font>
    <font>
      <sz val="10"/>
      <name val="Arial"/>
      <family val="2"/>
    </font>
    <font>
      <sz val="9"/>
      <color rgb="FF475569"/>
      <name val="Arial"/>
      <family val="0"/>
      <charset val="1"/>
    </font>
    <font>
      <sz val="9"/>
      <name val="Arial"/>
      <family val="0"/>
      <charset val="1"/>
    </font>
    <font>
      <sz val="9"/>
      <color rgb="FF334155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C2410C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2410C"/>
      <name val="Arial"/>
      <family val="0"/>
      <charset val="1"/>
    </font>
    <font>
      <b val="true"/>
      <sz val="11"/>
      <color rgb="FFFFFF99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16653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220"/>
        <bgColor rgb="FF000000"/>
      </patternFill>
    </fill>
    <fill>
      <patternFill patternType="solid">
        <fgColor rgb="FF0E7490"/>
        <bgColor rgb="FF008080"/>
      </patternFill>
    </fill>
    <fill>
      <patternFill patternType="solid">
        <fgColor rgb="FFE2E8F0"/>
        <bgColor rgb="FFCBD5E1"/>
      </patternFill>
    </fill>
    <fill>
      <patternFill patternType="solid">
        <fgColor rgb="FFFFF9C4"/>
        <bgColor rgb="FFFFFF99"/>
      </patternFill>
    </fill>
    <fill>
      <patternFill patternType="solid">
        <fgColor rgb="FFFED7AA"/>
        <bgColor rgb="FFFECAC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166534"/>
      </font>
      <fill>
        <patternFill>
          <bgColor rgb="FFBBF7D0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CACA"/>
        </patternFill>
      </fill>
    </dxf>
    <dxf>
      <font>
        <name val="Arial"/>
        <charset val="1"/>
        <family val="0"/>
        <b val="1"/>
        <color rgb="FF166534"/>
      </font>
    </dxf>
    <dxf>
      <font>
        <name val="Arial"/>
        <charset val="1"/>
        <family val="0"/>
        <b val="1"/>
        <color rgb="FF991B1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E7490"/>
      <rgbColor rgb="FFFECACA"/>
      <rgbColor rgb="FF808080"/>
      <rgbColor rgb="FF9999FF"/>
      <rgbColor rgb="FFC2410C"/>
      <rgbColor rgb="FFFFF9C4"/>
      <rgbColor rgb="FFE2E8F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BF7D0"/>
      <rgbColor rgb="FFFFFF99"/>
      <rgbColor rgb="FF99CCFF"/>
      <rgbColor rgb="FFFF99CC"/>
      <rgbColor rgb="FFCC99FF"/>
      <rgbColor rgb="FFFED7AA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B1220"/>
      <rgbColor rgb="FF333300"/>
      <rgbColor rgb="FF991B1B"/>
      <rgbColor rgb="FF993366"/>
      <rgbColor rgb="FF47556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0"/>
  </cols>
  <sheetData>
    <row r="1" customFormat="false" ht="33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3"/>
    </row>
    <row r="4" customFormat="false" ht="15" hidden="false" customHeight="true" outlineLevel="0" collapsed="false">
      <c r="A4" s="4" t="s">
        <v>2</v>
      </c>
      <c r="B4" s="5"/>
    </row>
    <row r="5" customFormat="false" ht="31.5" hidden="false" customHeight="true" outlineLevel="0" collapsed="false">
      <c r="A5" s="6" t="s">
        <v>3</v>
      </c>
      <c r="B5" s="7" t="s">
        <v>4</v>
      </c>
    </row>
    <row r="6" customFormat="false" ht="31.5" hidden="false" customHeight="true" outlineLevel="0" collapsed="false">
      <c r="A6" s="6" t="s">
        <v>5</v>
      </c>
      <c r="B6" s="7" t="s">
        <v>6</v>
      </c>
    </row>
    <row r="7" customFormat="false" ht="31.5" hidden="false" customHeight="true" outlineLevel="0" collapsed="false">
      <c r="A7" s="6" t="s">
        <v>7</v>
      </c>
      <c r="B7" s="7" t="s">
        <v>8</v>
      </c>
    </row>
    <row r="8" customFormat="false" ht="45.75" hidden="false" customHeight="true" outlineLevel="0" collapsed="false">
      <c r="A8" s="6" t="s">
        <v>9</v>
      </c>
      <c r="B8" s="7" t="s">
        <v>10</v>
      </c>
    </row>
    <row r="9" customFormat="false" ht="45.75" hidden="false" customHeight="true" outlineLevel="0" collapsed="false">
      <c r="A9" s="6" t="s">
        <v>11</v>
      </c>
      <c r="B9" s="7" t="s">
        <v>12</v>
      </c>
    </row>
    <row r="10" customFormat="false" ht="31.5" hidden="false" customHeight="true" outlineLevel="0" collapsed="false">
      <c r="A10" s="6" t="s">
        <v>13</v>
      </c>
      <c r="B10" s="7" t="s">
        <v>14</v>
      </c>
    </row>
    <row r="11" customFormat="false" ht="31.5" hidden="false" customHeight="true" outlineLevel="0" collapsed="false">
      <c r="A11" s="6" t="s">
        <v>15</v>
      </c>
      <c r="B11" s="7" t="s">
        <v>16</v>
      </c>
    </row>
    <row r="12" customFormat="false" ht="31.5" hidden="false" customHeight="true" outlineLevel="0" collapsed="false">
      <c r="A12" s="6" t="s">
        <v>17</v>
      </c>
      <c r="B12" s="7" t="s">
        <v>18</v>
      </c>
    </row>
    <row r="13" customFormat="false" ht="19.5" hidden="false" customHeight="true" outlineLevel="0" collapsed="false">
      <c r="A13" s="6" t="s">
        <v>19</v>
      </c>
      <c r="B13" s="7" t="s">
        <v>20</v>
      </c>
    </row>
    <row r="15" customFormat="false" ht="15" hidden="false" customHeight="true" outlineLevel="0" collapsed="false">
      <c r="A15" s="4" t="s">
        <v>21</v>
      </c>
      <c r="B15" s="5"/>
    </row>
    <row r="16" customFormat="false" ht="31.5" hidden="false" customHeight="true" outlineLevel="0" collapsed="false">
      <c r="A16" s="6" t="s">
        <v>22</v>
      </c>
      <c r="B16" s="7" t="s">
        <v>23</v>
      </c>
    </row>
    <row r="17" customFormat="false" ht="19.5" hidden="false" customHeight="true" outlineLevel="0" collapsed="false">
      <c r="A17" s="6" t="s">
        <v>24</v>
      </c>
      <c r="B17" s="7" t="s">
        <v>25</v>
      </c>
    </row>
    <row r="18" customFormat="false" ht="31.5" hidden="false" customHeight="true" outlineLevel="0" collapsed="false">
      <c r="A18" s="6" t="s">
        <v>26</v>
      </c>
      <c r="B18" s="7" t="s">
        <v>27</v>
      </c>
    </row>
    <row r="19" customFormat="false" ht="31.5" hidden="false" customHeight="true" outlineLevel="0" collapsed="false">
      <c r="A19" s="6" t="s">
        <v>28</v>
      </c>
      <c r="B19" s="7" t="s">
        <v>29</v>
      </c>
    </row>
    <row r="20" customFormat="false" ht="19.5" hidden="false" customHeight="true" outlineLevel="0" collapsed="false">
      <c r="A20" s="6" t="s">
        <v>30</v>
      </c>
      <c r="B20" s="7" t="s">
        <v>31</v>
      </c>
    </row>
    <row r="22" customFormat="false" ht="15" hidden="false" customHeight="true" outlineLevel="0" collapsed="false">
      <c r="A22" s="4" t="s">
        <v>32</v>
      </c>
      <c r="B22" s="5"/>
    </row>
    <row r="23" customFormat="false" ht="45.75" hidden="false" customHeight="true" outlineLevel="0" collapsed="false">
      <c r="A23" s="6" t="s">
        <v>33</v>
      </c>
      <c r="B23" s="7" t="s">
        <v>34</v>
      </c>
    </row>
    <row r="24" customFormat="false" ht="31.5" hidden="false" customHeight="true" outlineLevel="0" collapsed="false">
      <c r="A24" s="6" t="s">
        <v>35</v>
      </c>
      <c r="B24" s="7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8"/>
    <col collapsed="false" customWidth="true" hidden="false" outlineLevel="0" max="4" min="4" style="1" width="60"/>
  </cols>
  <sheetData>
    <row r="1" customFormat="false" ht="33.75" hidden="false" customHeight="true" outlineLevel="0" collapsed="false">
      <c r="A1" s="2" t="s">
        <v>37</v>
      </c>
      <c r="B1" s="2"/>
      <c r="C1" s="2"/>
      <c r="D1" s="2"/>
    </row>
    <row r="2" customFormat="false" ht="15" hidden="false" customHeight="true" outlineLevel="0" collapsed="false">
      <c r="A2" s="3" t="s">
        <v>38</v>
      </c>
      <c r="B2" s="3"/>
      <c r="C2" s="3"/>
      <c r="D2" s="3"/>
    </row>
    <row r="4" customFormat="false" ht="30" hidden="false" customHeight="true" outlineLevel="0" collapsed="false">
      <c r="A4" s="8" t="s">
        <v>39</v>
      </c>
      <c r="B4" s="8" t="s">
        <v>40</v>
      </c>
      <c r="C4" s="8" t="s">
        <v>41</v>
      </c>
      <c r="D4" s="8" t="s">
        <v>42</v>
      </c>
    </row>
    <row r="6" customFormat="false" ht="15" hidden="false" customHeight="true" outlineLevel="0" collapsed="false">
      <c r="A6" s="9" t="s">
        <v>43</v>
      </c>
      <c r="B6" s="10"/>
      <c r="C6" s="10"/>
      <c r="D6" s="10"/>
    </row>
    <row r="7" customFormat="false" ht="15" hidden="false" customHeight="true" outlineLevel="0" collapsed="false">
      <c r="A7" s="11" t="s">
        <v>44</v>
      </c>
      <c r="B7" s="12" t="n">
        <v>420</v>
      </c>
      <c r="C7" s="12" t="n">
        <v>380</v>
      </c>
      <c r="D7" s="13"/>
    </row>
    <row r="8" customFormat="false" ht="15" hidden="false" customHeight="true" outlineLevel="0" collapsed="false">
      <c r="A8" s="11" t="s">
        <v>45</v>
      </c>
      <c r="B8" s="12" t="n">
        <v>980</v>
      </c>
      <c r="C8" s="12" t="n">
        <v>860</v>
      </c>
      <c r="D8" s="13"/>
    </row>
    <row r="9" customFormat="false" ht="15" hidden="false" customHeight="true" outlineLevel="0" collapsed="false">
      <c r="A9" s="11" t="s">
        <v>26</v>
      </c>
      <c r="B9" s="12" t="n">
        <v>1350</v>
      </c>
      <c r="C9" s="12" t="n">
        <v>1150</v>
      </c>
      <c r="D9" s="13"/>
    </row>
    <row r="10" customFormat="false" ht="15" hidden="false" customHeight="true" outlineLevel="0" collapsed="false">
      <c r="A10" s="11" t="s">
        <v>46</v>
      </c>
      <c r="B10" s="14" t="n">
        <v>150</v>
      </c>
      <c r="C10" s="14" t="n">
        <v>130</v>
      </c>
      <c r="D10" s="13"/>
    </row>
    <row r="11" customFormat="false" ht="15" hidden="false" customHeight="true" outlineLevel="0" collapsed="false">
      <c r="A11" s="15" t="s">
        <v>47</v>
      </c>
      <c r="B11" s="16" t="n">
        <f aca="false">B7+B8+B9+B10</f>
        <v>2900</v>
      </c>
      <c r="C11" s="16" t="n">
        <f aca="false">C7+C8+C9+C10</f>
        <v>2520</v>
      </c>
    </row>
    <row r="12" customFormat="false" ht="15" hidden="false" customHeight="true" outlineLevel="0" collapsed="false">
      <c r="A12" s="11" t="s">
        <v>48</v>
      </c>
      <c r="B12" s="12" t="n">
        <v>2600</v>
      </c>
      <c r="C12" s="12" t="n">
        <v>2500</v>
      </c>
      <c r="D12" s="13" t="s">
        <v>49</v>
      </c>
    </row>
    <row r="13" customFormat="false" ht="15" hidden="false" customHeight="true" outlineLevel="0" collapsed="false">
      <c r="A13" s="15" t="s">
        <v>50</v>
      </c>
      <c r="B13" s="16" t="n">
        <f aca="false">B11+B12</f>
        <v>5500</v>
      </c>
      <c r="C13" s="16" t="n">
        <f aca="false">C11+C12</f>
        <v>5020</v>
      </c>
    </row>
    <row r="14" customFormat="false" ht="15" hidden="false" customHeight="true" outlineLevel="0" collapsed="false">
      <c r="A14" s="11" t="s">
        <v>51</v>
      </c>
      <c r="B14" s="12" t="n">
        <v>700</v>
      </c>
      <c r="C14" s="12" t="n">
        <v>650</v>
      </c>
      <c r="D14" s="13" t="s">
        <v>52</v>
      </c>
    </row>
    <row r="15" customFormat="false" ht="15" hidden="false" customHeight="true" outlineLevel="0" collapsed="false">
      <c r="A15" s="11" t="s">
        <v>53</v>
      </c>
      <c r="B15" s="12" t="n">
        <v>900</v>
      </c>
      <c r="C15" s="12" t="n">
        <v>780</v>
      </c>
      <c r="D15" s="13"/>
    </row>
    <row r="16" customFormat="false" ht="15" hidden="false" customHeight="true" outlineLevel="0" collapsed="false">
      <c r="A16" s="11" t="s">
        <v>54</v>
      </c>
      <c r="B16" s="14" t="n">
        <v>300</v>
      </c>
      <c r="C16" s="14" t="n">
        <v>270</v>
      </c>
      <c r="D16" s="13" t="s">
        <v>55</v>
      </c>
    </row>
    <row r="17" customFormat="false" ht="15" hidden="false" customHeight="true" outlineLevel="0" collapsed="false">
      <c r="A17" s="15" t="s">
        <v>56</v>
      </c>
      <c r="B17" s="16" t="n">
        <f aca="false">B14+B15+B16</f>
        <v>1900</v>
      </c>
      <c r="C17" s="16" t="n">
        <f aca="false">C14+C15+C16</f>
        <v>1700</v>
      </c>
    </row>
    <row r="18" customFormat="false" ht="15" hidden="false" customHeight="true" outlineLevel="0" collapsed="false">
      <c r="A18" s="11" t="s">
        <v>57</v>
      </c>
      <c r="B18" s="12" t="n">
        <v>1200</v>
      </c>
      <c r="C18" s="12" t="n">
        <v>1250</v>
      </c>
      <c r="D18" s="13"/>
    </row>
    <row r="19" customFormat="false" ht="15" hidden="false" customHeight="true" outlineLevel="0" collapsed="false">
      <c r="A19" s="15" t="s">
        <v>58</v>
      </c>
      <c r="B19" s="16" t="n">
        <f aca="false">B17+B18</f>
        <v>3100</v>
      </c>
      <c r="C19" s="16" t="n">
        <f aca="false">C17+C18</f>
        <v>2950</v>
      </c>
    </row>
    <row r="20" customFormat="false" ht="15" hidden="false" customHeight="true" outlineLevel="0" collapsed="false">
      <c r="A20" s="11" t="s">
        <v>59</v>
      </c>
      <c r="B20" s="12" t="n">
        <v>2400</v>
      </c>
      <c r="C20" s="12" t="n">
        <v>2070</v>
      </c>
      <c r="D20" s="13"/>
    </row>
    <row r="21" customFormat="false" ht="15" hidden="false" customHeight="true" outlineLevel="0" collapsed="false">
      <c r="A21" s="15" t="s">
        <v>60</v>
      </c>
      <c r="B21" s="16" t="n">
        <f aca="false">B13-B19-B20</f>
        <v>0</v>
      </c>
      <c r="C21" s="16" t="n">
        <f aca="false">C13-C19-C20</f>
        <v>0</v>
      </c>
      <c r="D21" s="17" t="s">
        <v>61</v>
      </c>
    </row>
    <row r="23" customFormat="false" ht="15" hidden="false" customHeight="true" outlineLevel="0" collapsed="false">
      <c r="A23" s="9" t="s">
        <v>62</v>
      </c>
      <c r="B23" s="10"/>
      <c r="C23" s="10"/>
      <c r="D23" s="10"/>
    </row>
    <row r="24" customFormat="false" ht="15" hidden="false" customHeight="true" outlineLevel="0" collapsed="false">
      <c r="A24" s="11" t="s">
        <v>63</v>
      </c>
      <c r="B24" s="12" t="n">
        <v>5050</v>
      </c>
      <c r="C24" s="12" t="n">
        <v>4450</v>
      </c>
      <c r="D24" s="13"/>
    </row>
    <row r="25" customFormat="false" ht="15" hidden="false" customHeight="true" outlineLevel="0" collapsed="false">
      <c r="A25" s="11" t="s">
        <v>64</v>
      </c>
      <c r="B25" s="12" t="n">
        <v>3300</v>
      </c>
      <c r="C25" s="12" t="n">
        <v>2950</v>
      </c>
      <c r="D25" s="13"/>
    </row>
    <row r="26" customFormat="false" ht="15" hidden="false" customHeight="true" outlineLevel="0" collapsed="false">
      <c r="A26" s="11" t="s">
        <v>65</v>
      </c>
      <c r="B26" s="14" t="n">
        <v>788</v>
      </c>
      <c r="C26" s="14" t="n">
        <v>745</v>
      </c>
      <c r="D26" s="13" t="s">
        <v>66</v>
      </c>
    </row>
    <row r="27" customFormat="false" ht="15" hidden="false" customHeight="true" outlineLevel="0" collapsed="false">
      <c r="A27" s="11" t="s">
        <v>67</v>
      </c>
      <c r="B27" s="12" t="n">
        <v>112</v>
      </c>
      <c r="C27" s="12" t="n">
        <v>105</v>
      </c>
      <c r="D27" s="13"/>
    </row>
    <row r="28" customFormat="false" ht="15" hidden="false" customHeight="true" outlineLevel="0" collapsed="false">
      <c r="A28" s="11" t="s">
        <v>68</v>
      </c>
      <c r="B28" s="12" t="n">
        <v>98</v>
      </c>
      <c r="C28" s="12" t="n">
        <v>91</v>
      </c>
      <c r="D28" s="13" t="s">
        <v>69</v>
      </c>
    </row>
    <row r="29" customFormat="false" ht="15" hidden="false" customHeight="true" outlineLevel="0" collapsed="false">
      <c r="A29" s="11" t="s">
        <v>70</v>
      </c>
      <c r="B29" s="12" t="n">
        <v>250</v>
      </c>
      <c r="C29" s="12" t="n">
        <v>190</v>
      </c>
      <c r="D29" s="13"/>
    </row>
    <row r="30" customFormat="false" ht="15" hidden="false" customHeight="true" outlineLevel="0" collapsed="false">
      <c r="A30" s="15" t="s">
        <v>71</v>
      </c>
      <c r="B30" s="16" t="n">
        <f aca="false">B24-B25</f>
        <v>1750</v>
      </c>
      <c r="C30" s="16" t="n">
        <f aca="false">C24-C25</f>
        <v>1500</v>
      </c>
    </row>
    <row r="31" customFormat="false" ht="15" hidden="false" customHeight="true" outlineLevel="0" collapsed="false">
      <c r="A31" s="15" t="s">
        <v>72</v>
      </c>
      <c r="B31" s="16" t="n">
        <f aca="false">B30-B26</f>
        <v>962</v>
      </c>
      <c r="C31" s="16" t="n">
        <f aca="false">C30-C26</f>
        <v>755</v>
      </c>
    </row>
    <row r="32" customFormat="false" ht="15" hidden="false" customHeight="true" outlineLevel="0" collapsed="false">
      <c r="A32" s="15" t="s">
        <v>73</v>
      </c>
      <c r="B32" s="16" t="n">
        <f aca="false">B31-B27</f>
        <v>850</v>
      </c>
      <c r="C32" s="16" t="n">
        <f aca="false">C31-C27</f>
        <v>650</v>
      </c>
    </row>
    <row r="33" customFormat="false" ht="15" hidden="false" customHeight="true" outlineLevel="0" collapsed="false">
      <c r="A33" s="15" t="s">
        <v>74</v>
      </c>
      <c r="B33" s="16" t="n">
        <f aca="false">B32-B28-B29</f>
        <v>502</v>
      </c>
      <c r="C33" s="16" t="n">
        <f aca="false">C32-C28-C29</f>
        <v>369</v>
      </c>
    </row>
    <row r="35" customFormat="false" ht="15" hidden="false" customHeight="true" outlineLevel="0" collapsed="false">
      <c r="A35" s="9" t="s">
        <v>75</v>
      </c>
      <c r="B35" s="10"/>
      <c r="C35" s="10"/>
      <c r="D35" s="10"/>
    </row>
    <row r="36" customFormat="false" ht="15" hidden="false" customHeight="true" outlineLevel="0" collapsed="false">
      <c r="A36" s="11" t="s">
        <v>76</v>
      </c>
      <c r="B36" s="12" t="n">
        <v>305</v>
      </c>
      <c r="C36" s="12" t="n">
        <v>270</v>
      </c>
      <c r="D36" s="13" t="s">
        <v>77</v>
      </c>
    </row>
    <row r="37" customFormat="false" ht="15" hidden="false" customHeight="true" outlineLevel="0" collapsed="false">
      <c r="A37" s="11" t="s">
        <v>78</v>
      </c>
      <c r="B37" s="12" t="n">
        <v>150</v>
      </c>
      <c r="C37" s="12" t="n">
        <v>130</v>
      </c>
      <c r="D37" s="13"/>
    </row>
    <row r="38" customFormat="false" ht="15" hidden="false" customHeight="true" outlineLevel="0" collapsed="false">
      <c r="A38" s="15" t="s">
        <v>79</v>
      </c>
      <c r="B38" s="16" t="n">
        <f aca="false">B36-B37</f>
        <v>155</v>
      </c>
      <c r="C38" s="16" t="n">
        <f aca="false">C36-C37</f>
        <v>140</v>
      </c>
    </row>
    <row r="39" customFormat="false" ht="15" hidden="false" customHeight="true" outlineLevel="0" collapsed="false">
      <c r="A39" s="11" t="s">
        <v>80</v>
      </c>
      <c r="B39" s="14" t="n">
        <v>213</v>
      </c>
      <c r="C39" s="14" t="n">
        <v>201</v>
      </c>
      <c r="D39" s="13" t="s">
        <v>81</v>
      </c>
    </row>
    <row r="40" customFormat="false" ht="15" hidden="false" customHeight="true" outlineLevel="0" collapsed="false">
      <c r="A40" s="11" t="s">
        <v>82</v>
      </c>
      <c r="B40" s="14" t="n">
        <v>181</v>
      </c>
      <c r="C40" s="14" t="n">
        <v>181</v>
      </c>
      <c r="D40" s="13" t="s">
        <v>83</v>
      </c>
    </row>
    <row r="42" customFormat="false" ht="15" hidden="false" customHeight="true" outlineLevel="0" collapsed="false">
      <c r="A42" s="9" t="s">
        <v>84</v>
      </c>
      <c r="B42" s="10"/>
      <c r="C42" s="10"/>
      <c r="D42" s="10"/>
    </row>
    <row r="43" customFormat="false" ht="15" hidden="false" customHeight="true" outlineLevel="0" collapsed="false">
      <c r="A43" s="11" t="s">
        <v>85</v>
      </c>
      <c r="B43" s="12" t="n">
        <v>1200</v>
      </c>
      <c r="C43" s="12" t="n">
        <v>1250</v>
      </c>
      <c r="D43" s="13" t="s">
        <v>86</v>
      </c>
    </row>
    <row r="44" customFormat="false" ht="15" hidden="false" customHeight="true" outlineLevel="0" collapsed="false">
      <c r="A44" s="11" t="s">
        <v>87</v>
      </c>
      <c r="B44" s="12" t="n">
        <v>0</v>
      </c>
      <c r="C44" s="12" t="n">
        <v>0</v>
      </c>
      <c r="D44" s="13" t="s">
        <v>88</v>
      </c>
    </row>
    <row r="45" customFormat="false" ht="15" hidden="false" customHeight="true" outlineLevel="0" collapsed="false">
      <c r="A45" s="11" t="s">
        <v>89</v>
      </c>
      <c r="B45" s="12" t="n">
        <v>0</v>
      </c>
      <c r="C45" s="12" t="n">
        <v>0</v>
      </c>
      <c r="D45" s="13" t="s">
        <v>90</v>
      </c>
    </row>
    <row r="46" customFormat="false" ht="15" hidden="false" customHeight="true" outlineLevel="0" collapsed="false">
      <c r="A46" s="9" t="s">
        <v>91</v>
      </c>
      <c r="B46" s="10"/>
      <c r="C46" s="10"/>
      <c r="D46" s="10"/>
    </row>
    <row r="47" customFormat="false" ht="15" hidden="false" customHeight="true" outlineLevel="0" collapsed="false">
      <c r="A47" s="11" t="s">
        <v>92</v>
      </c>
      <c r="B47" s="12" t="n">
        <v>9300</v>
      </c>
      <c r="D47" s="13" t="s">
        <v>93</v>
      </c>
    </row>
    <row r="48" customFormat="false" ht="15" hidden="false" customHeight="true" outlineLevel="0" collapsed="false">
      <c r="A48" s="11" t="s">
        <v>94</v>
      </c>
      <c r="B48" s="12" t="n">
        <v>6080</v>
      </c>
      <c r="D48" s="13"/>
    </row>
    <row r="49" customFormat="false" ht="15" hidden="false" customHeight="true" outlineLevel="0" collapsed="false">
      <c r="A49" s="11" t="s">
        <v>95</v>
      </c>
      <c r="B49" s="12" t="n">
        <v>1560</v>
      </c>
      <c r="D49" s="13"/>
    </row>
    <row r="50" customFormat="false" ht="15" hidden="false" customHeight="true" outlineLevel="0" collapsed="false">
      <c r="A50" s="11" t="s">
        <v>96</v>
      </c>
      <c r="B50" s="12" t="n">
        <v>215</v>
      </c>
      <c r="D50" s="13"/>
    </row>
    <row r="51" customFormat="false" ht="15" hidden="false" customHeight="true" outlineLevel="0" collapsed="false">
      <c r="A51" s="11" t="s">
        <v>97</v>
      </c>
      <c r="B51" s="12" t="n">
        <v>640</v>
      </c>
      <c r="D51" s="13"/>
    </row>
    <row r="52" customFormat="false" ht="15" hidden="false" customHeight="true" outlineLevel="0" collapsed="false">
      <c r="A52" s="11" t="s">
        <v>98</v>
      </c>
      <c r="B52" s="12" t="n">
        <v>660</v>
      </c>
      <c r="D52" s="13"/>
    </row>
    <row r="53" customFormat="false" ht="15" hidden="false" customHeight="true" outlineLevel="0" collapsed="false">
      <c r="A53" s="9" t="s">
        <v>99</v>
      </c>
      <c r="B53" s="10"/>
      <c r="C53" s="10"/>
      <c r="D53" s="10"/>
    </row>
    <row r="54" customFormat="false" ht="15" hidden="false" customHeight="true" outlineLevel="0" collapsed="false">
      <c r="A54" s="11" t="s">
        <v>100</v>
      </c>
      <c r="B54" s="18" t="n">
        <v>0.65</v>
      </c>
      <c r="D54" s="13" t="s">
        <v>101</v>
      </c>
    </row>
    <row r="55" customFormat="false" ht="15" hidden="false" customHeight="true" outlineLevel="0" collapsed="false">
      <c r="A55" s="11" t="s">
        <v>102</v>
      </c>
      <c r="B55" s="19" t="n">
        <v>1.2</v>
      </c>
      <c r="D55" s="13" t="s">
        <v>103</v>
      </c>
    </row>
    <row r="56" customFormat="false" ht="15" hidden="false" customHeight="true" outlineLevel="0" collapsed="false">
      <c r="A56" s="11" t="s">
        <v>104</v>
      </c>
      <c r="B56" s="19" t="n">
        <v>3</v>
      </c>
      <c r="D56" s="13" t="s">
        <v>103</v>
      </c>
    </row>
    <row r="57" customFormat="false" ht="15" hidden="false" customHeight="true" outlineLevel="0" collapsed="false">
      <c r="A57" s="11" t="s">
        <v>105</v>
      </c>
      <c r="B57" s="12" t="n">
        <v>700</v>
      </c>
      <c r="D57" s="13" t="s">
        <v>106</v>
      </c>
    </row>
    <row r="58" customFormat="false" ht="15" hidden="false" customHeight="true" outlineLevel="0" collapsed="false">
      <c r="A58" s="11" t="s">
        <v>107</v>
      </c>
      <c r="B58" s="12" t="n">
        <v>400</v>
      </c>
      <c r="D58" s="13"/>
    </row>
    <row r="59" customFormat="false" ht="15" hidden="false" customHeight="true" outlineLevel="0" collapsed="false">
      <c r="A59" s="11" t="s">
        <v>108</v>
      </c>
      <c r="B59" s="12" t="n">
        <v>400</v>
      </c>
      <c r="D59" s="13"/>
    </row>
    <row r="60" customFormat="false" ht="15" hidden="false" customHeight="true" outlineLevel="0" collapsed="false">
      <c r="A60" s="11" t="s">
        <v>109</v>
      </c>
      <c r="B60" s="12" t="n">
        <v>400</v>
      </c>
      <c r="D60" s="13"/>
    </row>
    <row r="61" customFormat="false" ht="15" hidden="false" customHeight="true" outlineLevel="0" collapsed="false">
      <c r="A61" s="9" t="s">
        <v>110</v>
      </c>
      <c r="B61" s="10"/>
      <c r="C61" s="10"/>
      <c r="D61" s="10"/>
    </row>
    <row r="62" customFormat="false" ht="15" hidden="false" customHeight="true" outlineLevel="0" collapsed="false">
      <c r="A62" s="11" t="s">
        <v>111</v>
      </c>
      <c r="B62" s="12" t="n">
        <v>800</v>
      </c>
      <c r="C62" s="12" t="n">
        <v>800</v>
      </c>
      <c r="D62" s="13" t="s">
        <v>112</v>
      </c>
    </row>
    <row r="63" customFormat="false" ht="15" hidden="false" customHeight="true" outlineLevel="0" collapsed="false">
      <c r="A63" s="11" t="s">
        <v>113</v>
      </c>
      <c r="B63" s="18" t="n">
        <v>0.18</v>
      </c>
      <c r="D63" s="13" t="s">
        <v>114</v>
      </c>
    </row>
    <row r="64" customFormat="false" ht="15" hidden="false" customHeight="true" outlineLevel="0" collapsed="false">
      <c r="A64" s="11" t="s">
        <v>115</v>
      </c>
      <c r="B64" s="18" t="n">
        <v>0.35</v>
      </c>
      <c r="D64" s="13" t="s">
        <v>116</v>
      </c>
    </row>
    <row r="65" customFormat="false" ht="15" hidden="false" customHeight="true" outlineLevel="0" collapsed="false">
      <c r="A65" s="11" t="s">
        <v>117</v>
      </c>
      <c r="B65" s="18" t="n">
        <v>0.15</v>
      </c>
      <c r="D65" s="13" t="s">
        <v>118</v>
      </c>
    </row>
    <row r="66" customFormat="false" ht="15" hidden="false" customHeight="true" outlineLevel="0" collapsed="false">
      <c r="A66" s="11" t="s">
        <v>119</v>
      </c>
      <c r="B66" s="18" t="n">
        <v>0.03</v>
      </c>
      <c r="D66" s="13" t="s">
        <v>120</v>
      </c>
    </row>
    <row r="67" customFormat="false" ht="15" hidden="false" customHeight="true" outlineLevel="0" collapsed="false">
      <c r="A67" s="11" t="s">
        <v>121</v>
      </c>
      <c r="B67" s="20" t="n">
        <v>15</v>
      </c>
      <c r="D67" s="13" t="s">
        <v>122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38"/>
    <col collapsed="false" customWidth="true" hidden="false" outlineLevel="0" max="6" min="3" style="1" width="13"/>
    <col collapsed="false" customWidth="true" hidden="false" outlineLevel="0" max="7" min="7" style="1" width="11"/>
    <col collapsed="false" customWidth="true" hidden="false" outlineLevel="0" max="8" min="8" style="1" width="70"/>
    <col collapsed="false" customWidth="true" hidden="false" outlineLevel="0" max="9" min="9" style="1" width="12"/>
  </cols>
  <sheetData>
    <row r="1" customFormat="false" ht="33.75" hidden="false" customHeight="true" outlineLevel="0" collapsed="false">
      <c r="A1" s="2" t="s">
        <v>123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124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8" t="s">
        <v>125</v>
      </c>
      <c r="B4" s="8" t="s">
        <v>126</v>
      </c>
      <c r="C4" s="8" t="s">
        <v>127</v>
      </c>
      <c r="D4" s="8" t="s">
        <v>128</v>
      </c>
      <c r="E4" s="8" t="s">
        <v>129</v>
      </c>
      <c r="F4" s="8" t="s">
        <v>130</v>
      </c>
      <c r="G4" s="8" t="s">
        <v>131</v>
      </c>
      <c r="H4" s="8" t="s">
        <v>132</v>
      </c>
      <c r="I4" s="8" t="s">
        <v>133</v>
      </c>
    </row>
    <row r="5" customFormat="false" ht="15" hidden="false" customHeight="true" outlineLevel="0" collapsed="false">
      <c r="A5" s="9" t="s">
        <v>134</v>
      </c>
      <c r="B5" s="10"/>
      <c r="C5" s="10"/>
      <c r="D5" s="10"/>
      <c r="E5" s="10"/>
      <c r="F5" s="10"/>
      <c r="G5" s="10"/>
      <c r="H5" s="10"/>
    </row>
    <row r="6" customFormat="false" ht="37.5" hidden="false" customHeight="true" outlineLevel="0" collapsed="false">
      <c r="A6" s="15" t="s">
        <v>135</v>
      </c>
      <c r="B6" s="21" t="s">
        <v>136</v>
      </c>
      <c r="C6" s="22" t="n">
        <f aca="false">IFERROR(Datos!B11/Datos!B17,0)</f>
        <v>1.52631578947368</v>
      </c>
      <c r="D6" s="22" t="n">
        <f aca="false">IFERROR(Datos!C11/Datos!C17,0)</f>
        <v>1.48235294117647</v>
      </c>
      <c r="E6" s="23" t="n">
        <f aca="false">IF(D6=0,0,(C6-D6)/ABS(D6))</f>
        <v>0.0296574770258981</v>
      </c>
      <c r="F6" s="19" t="n">
        <v>1.5</v>
      </c>
      <c r="G6" s="24" t="s">
        <v>137</v>
      </c>
      <c r="H6" s="25" t="s">
        <v>138</v>
      </c>
      <c r="I6" s="26" t="str">
        <f aca="false">IF(G6="Mayor",IF(C6&gt;=F6,"Bien","Revisar"),IF(C6&lt;=F6,"Bien","Revisar"))</f>
        <v>Bien</v>
      </c>
    </row>
    <row r="7" customFormat="false" ht="37.5" hidden="false" customHeight="true" outlineLevel="0" collapsed="false">
      <c r="A7" s="15" t="s">
        <v>139</v>
      </c>
      <c r="B7" s="21" t="s">
        <v>140</v>
      </c>
      <c r="C7" s="22" t="n">
        <f aca="false">IFERROR((Datos!B11-Datos!B9)/Datos!B17,0)</f>
        <v>0.815789473684211</v>
      </c>
      <c r="D7" s="22" t="n">
        <f aca="false">IFERROR((Datos!C11-Datos!C9)/Datos!C17,0)</f>
        <v>0.805882352941177</v>
      </c>
      <c r="E7" s="23" t="n">
        <f aca="false">IF(D7=0,0,(C7-D7)/ABS(D7))</f>
        <v>0.0122935074913561</v>
      </c>
      <c r="F7" s="19" t="n">
        <v>1</v>
      </c>
      <c r="G7" s="24" t="s">
        <v>137</v>
      </c>
      <c r="H7" s="25" t="s">
        <v>141</v>
      </c>
      <c r="I7" s="26" t="str">
        <f aca="false">IF(G7="Mayor",IF(C7&gt;=F7,"Bien","Revisar"),IF(C7&lt;=F7,"Bien","Revisar"))</f>
        <v>Revisar</v>
      </c>
    </row>
    <row r="8" customFormat="false" ht="37.5" hidden="false" customHeight="true" outlineLevel="0" collapsed="false">
      <c r="A8" s="15" t="s">
        <v>142</v>
      </c>
      <c r="B8" s="21" t="s">
        <v>143</v>
      </c>
      <c r="C8" s="27" t="n">
        <f aca="false">IFERROR(Datos!B11-Datos!B17,0)</f>
        <v>1000</v>
      </c>
      <c r="D8" s="27" t="n">
        <f aca="false">IFERROR(Datos!C11-Datos!C17,0)</f>
        <v>820</v>
      </c>
      <c r="E8" s="23" t="n">
        <f aca="false">IF(D8=0,0,(C8-D8)/ABS(D8))</f>
        <v>0.219512195121951</v>
      </c>
      <c r="F8" s="12" t="n">
        <v>0</v>
      </c>
      <c r="G8" s="24" t="s">
        <v>137</v>
      </c>
      <c r="H8" s="25" t="s">
        <v>144</v>
      </c>
      <c r="I8" s="26" t="str">
        <f aca="false">IF(G8="Mayor",IF(C8&gt;=F8,"Bien","Revisar"),IF(C8&lt;=F8,"Bien","Revisar"))</f>
        <v>Bien</v>
      </c>
    </row>
    <row r="9" customFormat="false" ht="37.5" hidden="false" customHeight="true" outlineLevel="0" collapsed="false">
      <c r="A9" s="15" t="s">
        <v>145</v>
      </c>
      <c r="B9" s="21" t="s">
        <v>146</v>
      </c>
      <c r="C9" s="22" t="n">
        <f aca="false">IFERROR(Datos!B7/Datos!B17,0)</f>
        <v>0.221052631578947</v>
      </c>
      <c r="D9" s="22" t="n">
        <f aca="false">IFERROR(Datos!C7/Datos!C17,0)</f>
        <v>0.223529411764706</v>
      </c>
      <c r="E9" s="23" t="n">
        <f aca="false">IF(D9=0,0,(C9-D9)/ABS(D9))</f>
        <v>-0.0110803324099724</v>
      </c>
      <c r="F9" s="19" t="n">
        <v>0.2</v>
      </c>
      <c r="G9" s="24" t="s">
        <v>137</v>
      </c>
      <c r="H9" s="25" t="s">
        <v>147</v>
      </c>
      <c r="I9" s="26" t="str">
        <f aca="false">IF(G9="Mayor",IF(C9&gt;=F9,"Bien","Revisar"),IF(C9&lt;=F9,"Bien","Revisar"))</f>
        <v>Bien</v>
      </c>
    </row>
    <row r="10" customFormat="false" ht="15" hidden="false" customHeight="true" outlineLevel="0" collapsed="false">
      <c r="A10" s="9" t="s">
        <v>75</v>
      </c>
      <c r="B10" s="10"/>
      <c r="C10" s="10"/>
      <c r="D10" s="10"/>
      <c r="E10" s="10"/>
      <c r="F10" s="10"/>
      <c r="G10" s="10"/>
      <c r="H10" s="10"/>
    </row>
    <row r="11" customFormat="false" ht="37.5" hidden="false" customHeight="true" outlineLevel="0" collapsed="false">
      <c r="A11" s="15" t="s">
        <v>148</v>
      </c>
      <c r="B11" s="21" t="s">
        <v>149</v>
      </c>
      <c r="C11" s="22" t="n">
        <f aca="false">IFERROR(Datos!B36/Datos!B33,0)</f>
        <v>0.607569721115538</v>
      </c>
      <c r="D11" s="22" t="n">
        <f aca="false">IFERROR(Datos!C36/Datos!C33,0)</f>
        <v>0.731707317073171</v>
      </c>
      <c r="E11" s="23" t="n">
        <f aca="false">IF(D11=0,0,(C11-D11)/ABS(D11))</f>
        <v>-0.169654714475432</v>
      </c>
      <c r="F11" s="19" t="n">
        <v>1</v>
      </c>
      <c r="G11" s="24" t="s">
        <v>137</v>
      </c>
      <c r="H11" s="25" t="s">
        <v>150</v>
      </c>
      <c r="I11" s="26" t="str">
        <f aca="false">IF(G11="Mayor",IF(C11&gt;=F11,"Bien","Revisar"),IF(C11&lt;=F11,"Bien","Revisar"))</f>
        <v>Revisar</v>
      </c>
    </row>
    <row r="12" customFormat="false" ht="37.5" hidden="false" customHeight="true" outlineLevel="0" collapsed="false">
      <c r="A12" s="15" t="s">
        <v>151</v>
      </c>
      <c r="B12" s="21" t="s">
        <v>152</v>
      </c>
      <c r="C12" s="27" t="n">
        <f aca="false">IFERROR(Datos!B38,0)</f>
        <v>155</v>
      </c>
      <c r="D12" s="27" t="n">
        <f aca="false">IFERROR(Datos!C38,0)</f>
        <v>140</v>
      </c>
      <c r="E12" s="23" t="n">
        <f aca="false">IF(D12=0,0,(C12-D12)/ABS(D12))</f>
        <v>0.107142857142857</v>
      </c>
      <c r="F12" s="12" t="n">
        <v>0</v>
      </c>
      <c r="G12" s="24" t="s">
        <v>137</v>
      </c>
      <c r="H12" s="25" t="s">
        <v>153</v>
      </c>
      <c r="I12" s="26" t="str">
        <f aca="false">IF(G12="Mayor",IF(C12&gt;=F12,"Bien","Revisar"),IF(C12&lt;=F12,"Bien","Revisar"))</f>
        <v>Bien</v>
      </c>
    </row>
    <row r="13" customFormat="false" ht="37.5" hidden="false" customHeight="true" outlineLevel="0" collapsed="false">
      <c r="A13" s="15" t="s">
        <v>154</v>
      </c>
      <c r="B13" s="21" t="s">
        <v>155</v>
      </c>
      <c r="C13" s="22" t="n">
        <f aca="false">IFERROR(Datos!B36/Datos!B39,0)</f>
        <v>1.43192488262911</v>
      </c>
      <c r="D13" s="22" t="n">
        <f aca="false">IFERROR(Datos!C36/Datos!C39,0)</f>
        <v>1.34328358208955</v>
      </c>
      <c r="E13" s="23" t="n">
        <f aca="false">IF(D13=0,0,(C13-D13)/ABS(D13))</f>
        <v>0.0659885237350025</v>
      </c>
      <c r="F13" s="19" t="n">
        <v>1.25</v>
      </c>
      <c r="G13" s="24" t="s">
        <v>137</v>
      </c>
      <c r="H13" s="25" t="s">
        <v>156</v>
      </c>
      <c r="I13" s="26" t="str">
        <f aca="false">IF(G13="Mayor",IF(C13&gt;=F13,"Bien","Revisar"),IF(C13&lt;=F13,"Bien","Revisar"))</f>
        <v>Bien</v>
      </c>
    </row>
    <row r="14" customFormat="false" ht="37.5" hidden="false" customHeight="true" outlineLevel="0" collapsed="false">
      <c r="A14" s="15" t="s">
        <v>157</v>
      </c>
      <c r="B14" s="21" t="s">
        <v>158</v>
      </c>
      <c r="C14" s="28" t="n">
        <f aca="false">IFERROR(Datos!B7/((Datos!B25+Datos!B26)/Datos!B40),0)</f>
        <v>18.5958904109589</v>
      </c>
      <c r="D14" s="28" t="n">
        <f aca="false">IFERROR(Datos!C7/((Datos!C25+Datos!C26)/Datos!C40),0)</f>
        <v>18.6143437077131</v>
      </c>
      <c r="E14" s="23" t="n">
        <f aca="false">IF(D14=0,0,(C14-D14)/ABS(D14))</f>
        <v>-0.000991348233597619</v>
      </c>
      <c r="F14" s="29" t="n">
        <v>30</v>
      </c>
      <c r="G14" s="24" t="s">
        <v>137</v>
      </c>
      <c r="H14" s="25" t="s">
        <v>159</v>
      </c>
      <c r="I14" s="26" t="str">
        <f aca="false">IF(G14="Mayor",IF(C14&gt;=F14,"Bien","Revisar"),IF(C14&lt;=F14,"Bien","Revisar"))</f>
        <v>Revisar</v>
      </c>
    </row>
    <row r="15" customFormat="false" ht="15" hidden="false" customHeight="true" outlineLevel="0" collapsed="false">
      <c r="A15" s="9" t="s">
        <v>160</v>
      </c>
      <c r="B15" s="10"/>
      <c r="C15" s="10"/>
      <c r="D15" s="10"/>
      <c r="E15" s="10"/>
      <c r="F15" s="10"/>
      <c r="G15" s="10"/>
      <c r="H15" s="10"/>
    </row>
    <row r="16" customFormat="false" ht="37.5" hidden="false" customHeight="true" outlineLevel="0" collapsed="false">
      <c r="A16" s="15" t="s">
        <v>161</v>
      </c>
      <c r="B16" s="21" t="s">
        <v>162</v>
      </c>
      <c r="C16" s="30" t="n">
        <f aca="false">IFERROR(Datos!B30/Datos!B24,0)</f>
        <v>0.346534653465347</v>
      </c>
      <c r="D16" s="30" t="n">
        <f aca="false">IFERROR(Datos!C30/Datos!C24,0)</f>
        <v>0.337078651685393</v>
      </c>
      <c r="E16" s="23" t="n">
        <f aca="false">IF(D16=0,0,(C16-D16)/ABS(D16))</f>
        <v>0.028052805280528</v>
      </c>
      <c r="F16" s="18" t="n">
        <v>0.3</v>
      </c>
      <c r="G16" s="24" t="s">
        <v>137</v>
      </c>
      <c r="H16" s="25" t="s">
        <v>163</v>
      </c>
      <c r="I16" s="26" t="str">
        <f aca="false">IF(G16="Mayor",IF(C16&gt;=F16,"Bien","Revisar"),IF(C16&lt;=F16,"Bien","Revisar"))</f>
        <v>Bien</v>
      </c>
    </row>
    <row r="17" customFormat="false" ht="37.5" hidden="false" customHeight="true" outlineLevel="0" collapsed="false">
      <c r="A17" s="15" t="s">
        <v>164</v>
      </c>
      <c r="B17" s="21" t="s">
        <v>165</v>
      </c>
      <c r="C17" s="30" t="n">
        <f aca="false">IFERROR(Datos!B31/Datos!B24,0)</f>
        <v>0.190495049504951</v>
      </c>
      <c r="D17" s="30" t="n">
        <f aca="false">IFERROR(Datos!C31/Datos!C24,0)</f>
        <v>0.169662921348315</v>
      </c>
      <c r="E17" s="23" t="n">
        <f aca="false">IF(D17=0,0,(C17-D17)/ABS(D17))</f>
        <v>0.122785391121894</v>
      </c>
      <c r="F17" s="18" t="n">
        <v>0.15</v>
      </c>
      <c r="G17" s="24" t="s">
        <v>137</v>
      </c>
      <c r="H17" s="25" t="s">
        <v>166</v>
      </c>
      <c r="I17" s="26" t="str">
        <f aca="false">IF(G17="Mayor",IF(C17&gt;=F17,"Bien","Revisar"),IF(C17&lt;=F17,"Bien","Revisar"))</f>
        <v>Bien</v>
      </c>
    </row>
    <row r="18" customFormat="false" ht="37.5" hidden="false" customHeight="true" outlineLevel="0" collapsed="false">
      <c r="A18" s="15" t="s">
        <v>167</v>
      </c>
      <c r="B18" s="21" t="s">
        <v>168</v>
      </c>
      <c r="C18" s="30" t="n">
        <f aca="false">IFERROR(Datos!B33/Datos!B24,0)</f>
        <v>0.0994059405940594</v>
      </c>
      <c r="D18" s="30" t="n">
        <f aca="false">IFERROR(Datos!C33/Datos!C24,0)</f>
        <v>0.0829213483146067</v>
      </c>
      <c r="E18" s="23" t="n">
        <f aca="false">IF(D18=0,0,(C18-D18)/ABS(D18))</f>
        <v>0.198797928573345</v>
      </c>
      <c r="F18" s="18" t="n">
        <v>0.08</v>
      </c>
      <c r="G18" s="24" t="s">
        <v>137</v>
      </c>
      <c r="H18" s="25" t="s">
        <v>169</v>
      </c>
      <c r="I18" s="26" t="str">
        <f aca="false">IF(G18="Mayor",IF(C18&gt;=F18,"Bien","Revisar"),IF(C18&lt;=F18,"Bien","Revisar"))</f>
        <v>Bien</v>
      </c>
    </row>
    <row r="19" customFormat="false" ht="37.5" hidden="false" customHeight="true" outlineLevel="0" collapsed="false">
      <c r="A19" s="15" t="s">
        <v>170</v>
      </c>
      <c r="B19" s="21" t="s">
        <v>171</v>
      </c>
      <c r="C19" s="30" t="n">
        <f aca="false">IFERROR(Datos!B33/Datos!B20*365/Datos!B40,0)</f>
        <v>0.421800184162063</v>
      </c>
      <c r="D19" s="30" t="n">
        <f aca="false">IFERROR(Datos!C33/Datos!C20*365/Datos!C40,0)</f>
        <v>0.359476339178477</v>
      </c>
      <c r="E19" s="23" t="n">
        <f aca="false">IF(D19=0,0,(C19-D19)/ABS(D19))</f>
        <v>0.173373983739837</v>
      </c>
      <c r="F19" s="18" t="n">
        <v>0.12</v>
      </c>
      <c r="G19" s="24" t="s">
        <v>137</v>
      </c>
      <c r="H19" s="25" t="s">
        <v>172</v>
      </c>
      <c r="I19" s="26" t="str">
        <f aca="false">IF(G19="Mayor",IF(C19&gt;=F19,"Bien","Revisar"),IF(C19&lt;=F19,"Bien","Revisar"))</f>
        <v>Bien</v>
      </c>
    </row>
    <row r="20" customFormat="false" ht="37.5" hidden="false" customHeight="true" outlineLevel="0" collapsed="false">
      <c r="A20" s="15" t="s">
        <v>173</v>
      </c>
      <c r="B20" s="21" t="s">
        <v>174</v>
      </c>
      <c r="C20" s="30" t="n">
        <f aca="false">IFERROR(Datos!B33/Datos!B13*365/Datos!B40,0)</f>
        <v>0.184058262179809</v>
      </c>
      <c r="D20" s="30" t="n">
        <f aca="false">IFERROR(Datos!C33/Datos!C13*365/Datos!C40,0)</f>
        <v>0.148230283286743</v>
      </c>
      <c r="E20" s="23" t="n">
        <f aca="false">IF(D20=0,0,(C20-D20)/ABS(D20))</f>
        <v>0.24170485341217</v>
      </c>
      <c r="F20" s="18" t="n">
        <v>0.06</v>
      </c>
      <c r="G20" s="24" t="s">
        <v>137</v>
      </c>
      <c r="H20" s="25" t="s">
        <v>175</v>
      </c>
      <c r="I20" s="26" t="str">
        <f aca="false">IF(G20="Mayor",IF(C20&gt;=F20,"Bien","Revisar"),IF(C20&lt;=F20,"Bien","Revisar"))</f>
        <v>Bien</v>
      </c>
    </row>
    <row r="21" customFormat="false" ht="15" hidden="false" customHeight="true" outlineLevel="0" collapsed="false">
      <c r="A21" s="9" t="s">
        <v>176</v>
      </c>
      <c r="B21" s="10"/>
      <c r="C21" s="10"/>
      <c r="D21" s="10"/>
      <c r="E21" s="10"/>
      <c r="F21" s="10"/>
      <c r="G21" s="10"/>
      <c r="H21" s="10"/>
    </row>
    <row r="22" customFormat="false" ht="37.5" hidden="false" customHeight="true" outlineLevel="0" collapsed="false">
      <c r="A22" s="15" t="s">
        <v>177</v>
      </c>
      <c r="B22" s="21" t="s">
        <v>178</v>
      </c>
      <c r="C22" s="22" t="n">
        <f aca="false">IFERROR(Datos!B25/Datos!B9*365/Datos!B40,0)</f>
        <v>4.92940454266421</v>
      </c>
      <c r="D22" s="22" t="n">
        <f aca="false">IFERROR(Datos!C25/Datos!C9*365/Datos!C40,0)</f>
        <v>5.17295219793418</v>
      </c>
      <c r="E22" s="23" t="n">
        <f aca="false">IF(D22=0,0,(C22-D22)/ABS(D22))</f>
        <v>-0.047080979284369</v>
      </c>
      <c r="F22" s="19" t="n">
        <v>6</v>
      </c>
      <c r="G22" s="24" t="s">
        <v>137</v>
      </c>
      <c r="H22" s="25" t="s">
        <v>179</v>
      </c>
      <c r="I22" s="26" t="str">
        <f aca="false">IF(G22="Mayor",IF(C22&gt;=F22,"Bien","Revisar"),IF(C22&lt;=F22,"Bien","Revisar"))</f>
        <v>Revisar</v>
      </c>
    </row>
    <row r="23" customFormat="false" ht="37.5" hidden="false" customHeight="true" outlineLevel="0" collapsed="false">
      <c r="A23" s="15" t="s">
        <v>180</v>
      </c>
      <c r="B23" s="21" t="s">
        <v>181</v>
      </c>
      <c r="C23" s="28" t="n">
        <f aca="false">IFERROR(Datos!B9/Datos!B25*Datos!B40,0)</f>
        <v>74.0454545454546</v>
      </c>
      <c r="D23" s="28" t="n">
        <f aca="false">IFERROR(Datos!C9/Datos!C25*Datos!C40,0)</f>
        <v>70.5593220338983</v>
      </c>
      <c r="E23" s="23" t="n">
        <f aca="false">IF(D23=0,0,(C23-D23)/ABS(D23))</f>
        <v>0.0494071146245059</v>
      </c>
      <c r="F23" s="29" t="n">
        <v>60</v>
      </c>
      <c r="G23" s="24" t="s">
        <v>182</v>
      </c>
      <c r="H23" s="25" t="s">
        <v>183</v>
      </c>
      <c r="I23" s="26" t="str">
        <f aca="false">IF(G23="Mayor",IF(C23&gt;=F23,"Bien","Revisar"),IF(C23&lt;=F23,"Bien","Revisar"))</f>
        <v>Revisar</v>
      </c>
    </row>
    <row r="24" customFormat="false" ht="37.5" hidden="false" customHeight="true" outlineLevel="0" collapsed="false">
      <c r="A24" s="15" t="s">
        <v>184</v>
      </c>
      <c r="B24" s="21" t="s">
        <v>185</v>
      </c>
      <c r="C24" s="28" t="n">
        <f aca="false">IFERROR(Datos!B8/Datos!B24*Datos!B40,0)</f>
        <v>35.1247524752475</v>
      </c>
      <c r="D24" s="28" t="n">
        <f aca="false">IFERROR(Datos!C8/Datos!C24*Datos!C40,0)</f>
        <v>34.9797752808989</v>
      </c>
      <c r="E24" s="23" t="n">
        <f aca="false">IF(D24=0,0,(C24-D24)/ABS(D24))</f>
        <v>0.00414460050656228</v>
      </c>
      <c r="F24" s="29" t="n">
        <v>45</v>
      </c>
      <c r="G24" s="24" t="s">
        <v>182</v>
      </c>
      <c r="H24" s="25" t="s">
        <v>186</v>
      </c>
      <c r="I24" s="26" t="str">
        <f aca="false">IF(G24="Mayor",IF(C24&gt;=F24,"Bien","Revisar"),IF(C24&lt;=F24,"Bien","Revisar"))</f>
        <v>Bien</v>
      </c>
    </row>
    <row r="25" customFormat="false" ht="37.5" hidden="false" customHeight="true" outlineLevel="0" collapsed="false">
      <c r="A25" s="15" t="s">
        <v>187</v>
      </c>
      <c r="B25" s="21" t="s">
        <v>188</v>
      </c>
      <c r="C25" s="28" t="n">
        <f aca="false">IFERROR(Datos!B15/Datos!B25*Datos!B40,0)</f>
        <v>49.3636363636364</v>
      </c>
      <c r="D25" s="28" t="n">
        <f aca="false">IFERROR(Datos!C15/Datos!C25*Datos!C40,0)</f>
        <v>47.8576271186441</v>
      </c>
      <c r="E25" s="23" t="n">
        <f aca="false">IF(D25=0,0,(C25-D25)/ABS(D25))</f>
        <v>0.0314685314685314</v>
      </c>
      <c r="F25" s="29" t="n">
        <v>45</v>
      </c>
      <c r="G25" s="24" t="s">
        <v>137</v>
      </c>
      <c r="H25" s="25" t="s">
        <v>189</v>
      </c>
      <c r="I25" s="26" t="str">
        <f aca="false">IF(G25="Mayor",IF(C25&gt;=F25,"Bien","Revisar"),IF(C25&lt;=F25,"Bien","Revisar"))</f>
        <v>Bien</v>
      </c>
    </row>
    <row r="26" customFormat="false" ht="37.5" hidden="false" customHeight="true" outlineLevel="0" collapsed="false">
      <c r="A26" s="15" t="s">
        <v>190</v>
      </c>
      <c r="B26" s="21" t="s">
        <v>191</v>
      </c>
      <c r="C26" s="28" t="n">
        <f aca="false">C23+C24-C25</f>
        <v>59.8065706570657</v>
      </c>
      <c r="D26" s="28" t="n">
        <f aca="false">D23+D24-D25</f>
        <v>57.6814701961531</v>
      </c>
      <c r="E26" s="23" t="n">
        <f aca="false">IF(D26=0,0,(C26-D26)/ABS(D26))</f>
        <v>0.0368419954222025</v>
      </c>
      <c r="F26" s="29" t="n">
        <v>60</v>
      </c>
      <c r="G26" s="24" t="s">
        <v>182</v>
      </c>
      <c r="H26" s="25" t="s">
        <v>192</v>
      </c>
      <c r="I26" s="26" t="str">
        <f aca="false">IF(G26="Mayor",IF(C26&gt;=F26,"Bien","Revisar"),IF(C26&lt;=F26,"Bien","Revisar"))</f>
        <v>Bien</v>
      </c>
    </row>
    <row r="27" customFormat="false" ht="15" hidden="false" customHeight="true" outlineLevel="0" collapsed="false">
      <c r="A27" s="9" t="s">
        <v>193</v>
      </c>
      <c r="B27" s="10"/>
      <c r="C27" s="10"/>
      <c r="D27" s="10"/>
      <c r="E27" s="10"/>
      <c r="F27" s="10"/>
      <c r="G27" s="10"/>
      <c r="H27" s="10"/>
    </row>
    <row r="28" customFormat="false" ht="37.5" hidden="false" customHeight="true" outlineLevel="0" collapsed="false">
      <c r="A28" s="15" t="s">
        <v>194</v>
      </c>
      <c r="B28" s="21" t="s">
        <v>195</v>
      </c>
      <c r="C28" s="30" t="n">
        <f aca="false">IFERROR(Datos!B19/Datos!B13,0)</f>
        <v>0.563636363636364</v>
      </c>
      <c r="D28" s="30" t="n">
        <f aca="false">IFERROR(Datos!C19/Datos!C13,0)</f>
        <v>0.587649402390438</v>
      </c>
      <c r="E28" s="23" t="n">
        <f aca="false">IF(D28=0,0,(C28-D28)/ABS(D28))</f>
        <v>-0.0408628659476118</v>
      </c>
      <c r="F28" s="18" t="n">
        <v>0.6</v>
      </c>
      <c r="G28" s="24" t="s">
        <v>182</v>
      </c>
      <c r="H28" s="25" t="s">
        <v>196</v>
      </c>
      <c r="I28" s="26" t="str">
        <f aca="false">IF(G28="Mayor",IF(C28&gt;=F28,"Bien","Revisar"),IF(C28&lt;=F28,"Bien","Revisar"))</f>
        <v>Bien</v>
      </c>
    </row>
    <row r="29" customFormat="false" ht="37.5" hidden="false" customHeight="true" outlineLevel="0" collapsed="false">
      <c r="A29" s="15" t="s">
        <v>197</v>
      </c>
      <c r="B29" s="21" t="s">
        <v>198</v>
      </c>
      <c r="C29" s="22" t="n">
        <f aca="false">IFERROR(Datos!B32/Datos!B28,0)</f>
        <v>8.6734693877551</v>
      </c>
      <c r="D29" s="22" t="n">
        <f aca="false">IFERROR(Datos!C32/Datos!C28,0)</f>
        <v>7.14285714285714</v>
      </c>
      <c r="E29" s="23" t="n">
        <f aca="false">IF(D29=0,0,(C29-D29)/ABS(D29))</f>
        <v>0.214285714285714</v>
      </c>
      <c r="F29" s="19" t="n">
        <v>3</v>
      </c>
      <c r="G29" s="24" t="s">
        <v>137</v>
      </c>
      <c r="H29" s="25" t="s">
        <v>199</v>
      </c>
      <c r="I29" s="26" t="str">
        <f aca="false">IF(G29="Mayor",IF(C29&gt;=F29,"Bien","Revisar"),IF(C29&lt;=F29,"Bien","Revisar"))</f>
        <v>Bien</v>
      </c>
    </row>
    <row r="31" customFormat="false" ht="15" hidden="false" customHeight="true" outlineLevel="0" collapsed="false">
      <c r="A31" s="31" t="s">
        <v>200</v>
      </c>
    </row>
  </sheetData>
  <mergeCells count="2">
    <mergeCell ref="A1:H1"/>
    <mergeCell ref="A2:H2"/>
  </mergeCells>
  <conditionalFormatting sqref="I5:I29">
    <cfRule type="cellIs" priority="2" operator="equal" aboveAverage="0" equalAverage="0" bottom="0" percent="0" rank="0" text="" dxfId="0">
      <formula>"Bien"</formula>
    </cfRule>
    <cfRule type="cellIs" priority="3" operator="equal" aboveAverage="0" equalAverage="0" bottom="0" percent="0" rank="0" text="" dxfId="1">
      <formula>"Revisar"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4"/>
    <col collapsed="false" customWidth="true" hidden="false" outlineLevel="0" max="7" min="5" style="1" width="12"/>
    <col collapsed="false" customWidth="true" hidden="false" outlineLevel="0" max="8" min="8" style="1" width="20"/>
  </cols>
  <sheetData>
    <row r="1" customFormat="false" ht="33.75" hidden="false" customHeight="true" outlineLevel="0" collapsed="false">
      <c r="A1" s="2" t="s">
        <v>201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202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8" t="s">
        <v>39</v>
      </c>
      <c r="B4" s="8" t="s">
        <v>127</v>
      </c>
      <c r="C4" s="8" t="s">
        <v>128</v>
      </c>
      <c r="D4" s="8" t="s">
        <v>203</v>
      </c>
      <c r="E4" s="8" t="s">
        <v>204</v>
      </c>
      <c r="F4" s="8" t="s">
        <v>205</v>
      </c>
      <c r="G4" s="8" t="s">
        <v>206</v>
      </c>
      <c r="H4" s="8" t="s">
        <v>207</v>
      </c>
    </row>
    <row r="5" customFormat="false" ht="15" hidden="false" customHeight="true" outlineLevel="0" collapsed="false">
      <c r="A5" s="9" t="s">
        <v>208</v>
      </c>
      <c r="B5" s="10"/>
      <c r="C5" s="10"/>
      <c r="D5" s="10"/>
      <c r="E5" s="10"/>
      <c r="F5" s="10"/>
      <c r="G5" s="10"/>
      <c r="H5" s="10"/>
    </row>
    <row r="6" customFormat="false" ht="15" hidden="false" customHeight="true" outlineLevel="0" collapsed="false">
      <c r="A6" s="11" t="s">
        <v>44</v>
      </c>
      <c r="B6" s="32" t="n">
        <f aca="false">Datos!B7</f>
        <v>420</v>
      </c>
      <c r="C6" s="32" t="n">
        <f aca="false">Datos!C7</f>
        <v>380</v>
      </c>
      <c r="D6" s="32" t="n">
        <f aca="false">B6-C6</f>
        <v>40</v>
      </c>
      <c r="E6" s="33" t="n">
        <f aca="false">IFERROR(D6/ABS(C6),0)</f>
        <v>0.105263157894737</v>
      </c>
      <c r="F6" s="33" t="n">
        <f aca="false">IFERROR(B6/Datos!B13,0)</f>
        <v>0.0763636363636364</v>
      </c>
      <c r="G6" s="33" t="n">
        <f aca="false">IFERROR(C6/Datos!C13,0)</f>
        <v>0.0756972111553785</v>
      </c>
      <c r="H6" s="34" t="str">
        <f aca="false">IF(ABS(E6)&gt;0.2,"Variación fuerte","")</f>
        <v/>
      </c>
    </row>
    <row r="7" customFormat="false" ht="15" hidden="false" customHeight="true" outlineLevel="0" collapsed="false">
      <c r="A7" s="11" t="s">
        <v>209</v>
      </c>
      <c r="B7" s="32" t="n">
        <f aca="false">Datos!B8</f>
        <v>980</v>
      </c>
      <c r="C7" s="32" t="n">
        <f aca="false">Datos!C8</f>
        <v>860</v>
      </c>
      <c r="D7" s="32" t="n">
        <f aca="false">B7-C7</f>
        <v>120</v>
      </c>
      <c r="E7" s="33" t="n">
        <f aca="false">IFERROR(D7/ABS(C7),0)</f>
        <v>0.13953488372093</v>
      </c>
      <c r="F7" s="33" t="n">
        <f aca="false">IFERROR(B7/Datos!B13,0)</f>
        <v>0.178181818181818</v>
      </c>
      <c r="G7" s="33" t="n">
        <f aca="false">IFERROR(C7/Datos!C13,0)</f>
        <v>0.171314741035857</v>
      </c>
      <c r="H7" s="34" t="str">
        <f aca="false">IF(ABS(E7)&gt;0.2,"Variación fuerte","")</f>
        <v/>
      </c>
    </row>
    <row r="8" customFormat="false" ht="15" hidden="false" customHeight="true" outlineLevel="0" collapsed="false">
      <c r="A8" s="11" t="s">
        <v>26</v>
      </c>
      <c r="B8" s="32" t="n">
        <f aca="false">Datos!B9</f>
        <v>1350</v>
      </c>
      <c r="C8" s="32" t="n">
        <f aca="false">Datos!C9</f>
        <v>1150</v>
      </c>
      <c r="D8" s="32" t="n">
        <f aca="false">B8-C8</f>
        <v>200</v>
      </c>
      <c r="E8" s="33" t="n">
        <f aca="false">IFERROR(D8/ABS(C8),0)</f>
        <v>0.173913043478261</v>
      </c>
      <c r="F8" s="33" t="n">
        <f aca="false">IFERROR(B8/Datos!B13,0)</f>
        <v>0.245454545454545</v>
      </c>
      <c r="G8" s="33" t="n">
        <f aca="false">IFERROR(C8/Datos!C13,0)</f>
        <v>0.229083665338645</v>
      </c>
      <c r="H8" s="34" t="str">
        <f aca="false">IF(ABS(E8)&gt;0.2,"Variación fuerte","")</f>
        <v/>
      </c>
    </row>
    <row r="9" customFormat="false" ht="15" hidden="false" customHeight="true" outlineLevel="0" collapsed="false">
      <c r="A9" s="11" t="s">
        <v>46</v>
      </c>
      <c r="B9" s="32" t="n">
        <f aca="false">Datos!B10</f>
        <v>150</v>
      </c>
      <c r="C9" s="32" t="n">
        <f aca="false">Datos!C10</f>
        <v>130</v>
      </c>
      <c r="D9" s="32" t="n">
        <f aca="false">B9-C9</f>
        <v>20</v>
      </c>
      <c r="E9" s="33" t="n">
        <f aca="false">IFERROR(D9/ABS(C9),0)</f>
        <v>0.153846153846154</v>
      </c>
      <c r="F9" s="33" t="n">
        <f aca="false">IFERROR(B9/Datos!B13,0)</f>
        <v>0.0272727272727273</v>
      </c>
      <c r="G9" s="33" t="n">
        <f aca="false">IFERROR(C9/Datos!C13,0)</f>
        <v>0.0258964143426295</v>
      </c>
      <c r="H9" s="34" t="str">
        <f aca="false">IF(ABS(E9)&gt;0.2,"Variación fuerte","")</f>
        <v/>
      </c>
    </row>
    <row r="10" customFormat="false" ht="15" hidden="false" customHeight="true" outlineLevel="0" collapsed="false">
      <c r="A10" s="15" t="s">
        <v>47</v>
      </c>
      <c r="B10" s="35" t="n">
        <f aca="false">Datos!B11</f>
        <v>2900</v>
      </c>
      <c r="C10" s="35" t="n">
        <f aca="false">Datos!C11</f>
        <v>2520</v>
      </c>
      <c r="D10" s="35" t="n">
        <f aca="false">B10-C10</f>
        <v>380</v>
      </c>
      <c r="E10" s="36" t="n">
        <f aca="false">IFERROR(D10/ABS(C10),0)</f>
        <v>0.150793650793651</v>
      </c>
      <c r="F10" s="36" t="n">
        <f aca="false">IFERROR(B10/Datos!B13,0)</f>
        <v>0.527272727272727</v>
      </c>
      <c r="G10" s="36" t="n">
        <f aca="false">IFERROR(C10/Datos!C13,0)</f>
        <v>0.50199203187251</v>
      </c>
      <c r="H10" s="37" t="str">
        <f aca="false">IF(ABS(E10)&gt;0.2,"Variación fuerte","")</f>
        <v/>
      </c>
    </row>
    <row r="11" customFormat="false" ht="15" hidden="false" customHeight="true" outlineLevel="0" collapsed="false">
      <c r="A11" s="11" t="s">
        <v>48</v>
      </c>
      <c r="B11" s="32" t="n">
        <f aca="false">Datos!B12</f>
        <v>2600</v>
      </c>
      <c r="C11" s="32" t="n">
        <f aca="false">Datos!C12</f>
        <v>2500</v>
      </c>
      <c r="D11" s="32" t="n">
        <f aca="false">B11-C11</f>
        <v>100</v>
      </c>
      <c r="E11" s="33" t="n">
        <f aca="false">IFERROR(D11/ABS(C11),0)</f>
        <v>0.04</v>
      </c>
      <c r="F11" s="33" t="n">
        <f aca="false">IFERROR(B11/Datos!B13,0)</f>
        <v>0.472727272727273</v>
      </c>
      <c r="G11" s="33" t="n">
        <f aca="false">IFERROR(C11/Datos!C13,0)</f>
        <v>0.49800796812749</v>
      </c>
      <c r="H11" s="34" t="str">
        <f aca="false">IF(ABS(E11)&gt;0.2,"Variación fuerte","")</f>
        <v/>
      </c>
    </row>
    <row r="12" customFormat="false" ht="15" hidden="false" customHeight="true" outlineLevel="0" collapsed="false">
      <c r="A12" s="15" t="s">
        <v>50</v>
      </c>
      <c r="B12" s="35" t="n">
        <f aca="false">Datos!B13</f>
        <v>5500</v>
      </c>
      <c r="C12" s="35" t="n">
        <f aca="false">Datos!C13</f>
        <v>5020</v>
      </c>
      <c r="D12" s="35" t="n">
        <f aca="false">B12-C12</f>
        <v>480</v>
      </c>
      <c r="E12" s="36" t="n">
        <f aca="false">IFERROR(D12/ABS(C12),0)</f>
        <v>0.0956175298804781</v>
      </c>
      <c r="F12" s="36" t="n">
        <f aca="false">IFERROR(B12/Datos!B13,0)</f>
        <v>1</v>
      </c>
      <c r="G12" s="36" t="n">
        <f aca="false">IFERROR(C12/Datos!C13,0)</f>
        <v>1</v>
      </c>
      <c r="H12" s="37" t="str">
        <f aca="false">IF(ABS(E12)&gt;0.2,"Variación fuerte","")</f>
        <v/>
      </c>
    </row>
    <row r="13" customFormat="false" ht="15" hidden="false" customHeight="true" outlineLevel="0" collapsed="false">
      <c r="A13" s="11" t="s">
        <v>51</v>
      </c>
      <c r="B13" s="32" t="n">
        <f aca="false">Datos!B14</f>
        <v>700</v>
      </c>
      <c r="C13" s="32" t="n">
        <f aca="false">Datos!C14</f>
        <v>650</v>
      </c>
      <c r="D13" s="32" t="n">
        <f aca="false">B13-C13</f>
        <v>50</v>
      </c>
      <c r="E13" s="33" t="n">
        <f aca="false">IFERROR(D13/ABS(C13),0)</f>
        <v>0.0769230769230769</v>
      </c>
      <c r="F13" s="33" t="n">
        <f aca="false">IFERROR(B13/Datos!B13,0)</f>
        <v>0.127272727272727</v>
      </c>
      <c r="G13" s="33" t="n">
        <f aca="false">IFERROR(C13/Datos!C13,0)</f>
        <v>0.129482071713147</v>
      </c>
      <c r="H13" s="34" t="str">
        <f aca="false">IF(ABS(E13)&gt;0.2,"Variación fuerte","")</f>
        <v/>
      </c>
    </row>
    <row r="14" customFormat="false" ht="15" hidden="false" customHeight="true" outlineLevel="0" collapsed="false">
      <c r="A14" s="11" t="s">
        <v>53</v>
      </c>
      <c r="B14" s="32" t="n">
        <f aca="false">Datos!B15</f>
        <v>900</v>
      </c>
      <c r="C14" s="32" t="n">
        <f aca="false">Datos!C15</f>
        <v>780</v>
      </c>
      <c r="D14" s="32" t="n">
        <f aca="false">B14-C14</f>
        <v>120</v>
      </c>
      <c r="E14" s="33" t="n">
        <f aca="false">IFERROR(D14/ABS(C14),0)</f>
        <v>0.153846153846154</v>
      </c>
      <c r="F14" s="33" t="n">
        <f aca="false">IFERROR(B14/Datos!B13,0)</f>
        <v>0.163636363636364</v>
      </c>
      <c r="G14" s="33" t="n">
        <f aca="false">IFERROR(C14/Datos!C13,0)</f>
        <v>0.155378486055777</v>
      </c>
      <c r="H14" s="34" t="str">
        <f aca="false">IF(ABS(E14)&gt;0.2,"Variación fuerte","")</f>
        <v/>
      </c>
    </row>
    <row r="15" customFormat="false" ht="15" hidden="false" customHeight="true" outlineLevel="0" collapsed="false">
      <c r="A15" s="11" t="s">
        <v>54</v>
      </c>
      <c r="B15" s="32" t="n">
        <f aca="false">Datos!B16</f>
        <v>300</v>
      </c>
      <c r="C15" s="32" t="n">
        <f aca="false">Datos!C16</f>
        <v>270</v>
      </c>
      <c r="D15" s="32" t="n">
        <f aca="false">B15-C15</f>
        <v>30</v>
      </c>
      <c r="E15" s="33" t="n">
        <f aca="false">IFERROR(D15/ABS(C15),0)</f>
        <v>0.111111111111111</v>
      </c>
      <c r="F15" s="33" t="n">
        <f aca="false">IFERROR(B15/Datos!B13,0)</f>
        <v>0.0545454545454545</v>
      </c>
      <c r="G15" s="33" t="n">
        <f aca="false">IFERROR(C15/Datos!C13,0)</f>
        <v>0.0537848605577689</v>
      </c>
      <c r="H15" s="34" t="str">
        <f aca="false">IF(ABS(E15)&gt;0.2,"Variación fuerte","")</f>
        <v/>
      </c>
    </row>
    <row r="16" customFormat="false" ht="15" hidden="false" customHeight="true" outlineLevel="0" collapsed="false">
      <c r="A16" s="15" t="s">
        <v>56</v>
      </c>
      <c r="B16" s="35" t="n">
        <f aca="false">Datos!B17</f>
        <v>1900</v>
      </c>
      <c r="C16" s="35" t="n">
        <f aca="false">Datos!C17</f>
        <v>1700</v>
      </c>
      <c r="D16" s="35" t="n">
        <f aca="false">B16-C16</f>
        <v>200</v>
      </c>
      <c r="E16" s="36" t="n">
        <f aca="false">IFERROR(D16/ABS(C16),0)</f>
        <v>0.117647058823529</v>
      </c>
      <c r="F16" s="36" t="n">
        <f aca="false">IFERROR(B16/Datos!B13,0)</f>
        <v>0.345454545454545</v>
      </c>
      <c r="G16" s="36" t="n">
        <f aca="false">IFERROR(C16/Datos!C13,0)</f>
        <v>0.338645418326693</v>
      </c>
      <c r="H16" s="37" t="str">
        <f aca="false">IF(ABS(E16)&gt;0.2,"Variación fuerte","")</f>
        <v/>
      </c>
    </row>
    <row r="17" customFormat="false" ht="15" hidden="false" customHeight="true" outlineLevel="0" collapsed="false">
      <c r="A17" s="11" t="s">
        <v>57</v>
      </c>
      <c r="B17" s="32" t="n">
        <f aca="false">Datos!B18</f>
        <v>1200</v>
      </c>
      <c r="C17" s="32" t="n">
        <f aca="false">Datos!C18</f>
        <v>1250</v>
      </c>
      <c r="D17" s="32" t="n">
        <f aca="false">B17-C17</f>
        <v>-50</v>
      </c>
      <c r="E17" s="33" t="n">
        <f aca="false">IFERROR(D17/ABS(C17),0)</f>
        <v>-0.04</v>
      </c>
      <c r="F17" s="33" t="n">
        <f aca="false">IFERROR(B17/Datos!B13,0)</f>
        <v>0.218181818181818</v>
      </c>
      <c r="G17" s="33" t="n">
        <f aca="false">IFERROR(C17/Datos!C13,0)</f>
        <v>0.249003984063745</v>
      </c>
      <c r="H17" s="34" t="str">
        <f aca="false">IF(ABS(E17)&gt;0.2,"Variación fuerte","")</f>
        <v/>
      </c>
    </row>
    <row r="18" customFormat="false" ht="15" hidden="false" customHeight="true" outlineLevel="0" collapsed="false">
      <c r="A18" s="15" t="s">
        <v>58</v>
      </c>
      <c r="B18" s="35" t="n">
        <f aca="false">Datos!B19</f>
        <v>3100</v>
      </c>
      <c r="C18" s="35" t="n">
        <f aca="false">Datos!C19</f>
        <v>2950</v>
      </c>
      <c r="D18" s="35" t="n">
        <f aca="false">B18-C18</f>
        <v>150</v>
      </c>
      <c r="E18" s="36" t="n">
        <f aca="false">IFERROR(D18/ABS(C18),0)</f>
        <v>0.0508474576271187</v>
      </c>
      <c r="F18" s="36" t="n">
        <f aca="false">IFERROR(B18/Datos!B13,0)</f>
        <v>0.563636363636364</v>
      </c>
      <c r="G18" s="36" t="n">
        <f aca="false">IFERROR(C18/Datos!C13,0)</f>
        <v>0.587649402390438</v>
      </c>
      <c r="H18" s="37" t="str">
        <f aca="false">IF(ABS(E18)&gt;0.2,"Variación fuerte","")</f>
        <v/>
      </c>
    </row>
    <row r="19" customFormat="false" ht="15" hidden="false" customHeight="true" outlineLevel="0" collapsed="false">
      <c r="A19" s="11" t="s">
        <v>59</v>
      </c>
      <c r="B19" s="32" t="n">
        <f aca="false">Datos!B20</f>
        <v>2400</v>
      </c>
      <c r="C19" s="32" t="n">
        <f aca="false">Datos!C20</f>
        <v>2070</v>
      </c>
      <c r="D19" s="32" t="n">
        <f aca="false">B19-C19</f>
        <v>330</v>
      </c>
      <c r="E19" s="33" t="n">
        <f aca="false">IFERROR(D19/ABS(C19),0)</f>
        <v>0.159420289855072</v>
      </c>
      <c r="F19" s="33" t="n">
        <f aca="false">IFERROR(B19/Datos!B13,0)</f>
        <v>0.436363636363636</v>
      </c>
      <c r="G19" s="33" t="n">
        <f aca="false">IFERROR(C19/Datos!C13,0)</f>
        <v>0.412350597609562</v>
      </c>
      <c r="H19" s="34" t="str">
        <f aca="false">IF(ABS(E19)&gt;0.2,"Variación fuerte","")</f>
        <v/>
      </c>
    </row>
    <row r="21" customFormat="false" ht="15" hidden="false" customHeight="true" outlineLevel="0" collapsed="false">
      <c r="A21" s="9" t="s">
        <v>210</v>
      </c>
      <c r="B21" s="10"/>
      <c r="C21" s="10"/>
      <c r="D21" s="10"/>
      <c r="E21" s="10"/>
      <c r="F21" s="10"/>
      <c r="G21" s="10"/>
      <c r="H21" s="10"/>
    </row>
    <row r="22" customFormat="false" ht="15" hidden="false" customHeight="true" outlineLevel="0" collapsed="false">
      <c r="A22" s="11" t="s">
        <v>63</v>
      </c>
      <c r="B22" s="32" t="n">
        <f aca="false">Datos!B24</f>
        <v>5050</v>
      </c>
      <c r="C22" s="32" t="n">
        <f aca="false">Datos!C24</f>
        <v>4450</v>
      </c>
      <c r="D22" s="32" t="n">
        <f aca="false">B22-C22</f>
        <v>600</v>
      </c>
      <c r="E22" s="33" t="n">
        <f aca="false">IFERROR(D22/ABS(C22),0)</f>
        <v>0.134831460674157</v>
      </c>
      <c r="F22" s="33" t="n">
        <f aca="false">IFERROR(B22/Datos!B24,0)</f>
        <v>1</v>
      </c>
      <c r="G22" s="33" t="n">
        <f aca="false">IFERROR(C22/Datos!C24,0)</f>
        <v>1</v>
      </c>
      <c r="H22" s="34" t="str">
        <f aca="false">IF(ABS(E22)&gt;0.2,"Variación fuerte","")</f>
        <v/>
      </c>
    </row>
    <row r="23" customFormat="false" ht="15" hidden="false" customHeight="true" outlineLevel="0" collapsed="false">
      <c r="A23" s="11" t="s">
        <v>64</v>
      </c>
      <c r="B23" s="32" t="n">
        <f aca="false">Datos!B25</f>
        <v>3300</v>
      </c>
      <c r="C23" s="32" t="n">
        <f aca="false">Datos!C25</f>
        <v>2950</v>
      </c>
      <c r="D23" s="32" t="n">
        <f aca="false">B23-C23</f>
        <v>350</v>
      </c>
      <c r="E23" s="33" t="n">
        <f aca="false">IFERROR(D23/ABS(C23),0)</f>
        <v>0.11864406779661</v>
      </c>
      <c r="F23" s="33" t="n">
        <f aca="false">IFERROR(B23/Datos!B24,0)</f>
        <v>0.653465346534654</v>
      </c>
      <c r="G23" s="33" t="n">
        <f aca="false">IFERROR(C23/Datos!C24,0)</f>
        <v>0.662921348314607</v>
      </c>
      <c r="H23" s="34" t="str">
        <f aca="false">IF(ABS(E23)&gt;0.2,"Variación fuerte","")</f>
        <v/>
      </c>
    </row>
    <row r="24" customFormat="false" ht="15" hidden="false" customHeight="true" outlineLevel="0" collapsed="false">
      <c r="A24" s="15" t="s">
        <v>71</v>
      </c>
      <c r="B24" s="35" t="n">
        <f aca="false">Datos!B30</f>
        <v>1750</v>
      </c>
      <c r="C24" s="35" t="n">
        <f aca="false">Datos!C30</f>
        <v>1500</v>
      </c>
      <c r="D24" s="35" t="n">
        <f aca="false">B24-C24</f>
        <v>250</v>
      </c>
      <c r="E24" s="36" t="n">
        <f aca="false">IFERROR(D24/ABS(C24),0)</f>
        <v>0.166666666666667</v>
      </c>
      <c r="F24" s="36" t="n">
        <f aca="false">IFERROR(B24/Datos!B24,0)</f>
        <v>0.346534653465347</v>
      </c>
      <c r="G24" s="36" t="n">
        <f aca="false">IFERROR(C24/Datos!C24,0)</f>
        <v>0.337078651685393</v>
      </c>
      <c r="H24" s="37" t="str">
        <f aca="false">IF(ABS(E24)&gt;0.2,"Variación fuerte","")</f>
        <v/>
      </c>
    </row>
    <row r="25" customFormat="false" ht="15" hidden="false" customHeight="true" outlineLevel="0" collapsed="false">
      <c r="A25" s="11" t="s">
        <v>211</v>
      </c>
      <c r="B25" s="32" t="n">
        <f aca="false">Datos!B26</f>
        <v>788</v>
      </c>
      <c r="C25" s="32" t="n">
        <f aca="false">Datos!C26</f>
        <v>745</v>
      </c>
      <c r="D25" s="32" t="n">
        <f aca="false">B25-C25</f>
        <v>43</v>
      </c>
      <c r="E25" s="33" t="n">
        <f aca="false">IFERROR(D25/ABS(C25),0)</f>
        <v>0.0577181208053691</v>
      </c>
      <c r="F25" s="33" t="n">
        <f aca="false">IFERROR(B25/Datos!B24,0)</f>
        <v>0.156039603960396</v>
      </c>
      <c r="G25" s="33" t="n">
        <f aca="false">IFERROR(C25/Datos!C24,0)</f>
        <v>0.167415730337079</v>
      </c>
      <c r="H25" s="34" t="str">
        <f aca="false">IF(ABS(E25)&gt;0.2,"Variación fuerte","")</f>
        <v/>
      </c>
    </row>
    <row r="26" customFormat="false" ht="15" hidden="false" customHeight="true" outlineLevel="0" collapsed="false">
      <c r="A26" s="15" t="s">
        <v>72</v>
      </c>
      <c r="B26" s="35" t="n">
        <f aca="false">Datos!B31</f>
        <v>962</v>
      </c>
      <c r="C26" s="35" t="n">
        <f aca="false">Datos!C31</f>
        <v>755</v>
      </c>
      <c r="D26" s="35" t="n">
        <f aca="false">B26-C26</f>
        <v>207</v>
      </c>
      <c r="E26" s="36" t="n">
        <f aca="false">IFERROR(D26/ABS(C26),0)</f>
        <v>0.274172185430464</v>
      </c>
      <c r="F26" s="36" t="n">
        <f aca="false">IFERROR(B26/Datos!B24,0)</f>
        <v>0.190495049504951</v>
      </c>
      <c r="G26" s="36" t="n">
        <f aca="false">IFERROR(C26/Datos!C24,0)</f>
        <v>0.169662921348315</v>
      </c>
      <c r="H26" s="37" t="str">
        <f aca="false">IF(ABS(E26)&gt;0.2,"Variación fuerte","")</f>
        <v>Variación fuerte</v>
      </c>
    </row>
    <row r="27" customFormat="false" ht="15" hidden="false" customHeight="true" outlineLevel="0" collapsed="false">
      <c r="A27" s="11" t="s">
        <v>67</v>
      </c>
      <c r="B27" s="32" t="n">
        <f aca="false">Datos!B27</f>
        <v>112</v>
      </c>
      <c r="C27" s="32" t="n">
        <f aca="false">Datos!C27</f>
        <v>105</v>
      </c>
      <c r="D27" s="32" t="n">
        <f aca="false">B27-C27</f>
        <v>7</v>
      </c>
      <c r="E27" s="33" t="n">
        <f aca="false">IFERROR(D27/ABS(C27),0)</f>
        <v>0.0666666666666667</v>
      </c>
      <c r="F27" s="33" t="n">
        <f aca="false">IFERROR(B27/Datos!B24,0)</f>
        <v>0.0221782178217822</v>
      </c>
      <c r="G27" s="33" t="n">
        <f aca="false">IFERROR(C27/Datos!C24,0)</f>
        <v>0.0235955056179775</v>
      </c>
      <c r="H27" s="34" t="str">
        <f aca="false">IF(ABS(E27)&gt;0.2,"Variación fuerte","")</f>
        <v/>
      </c>
    </row>
    <row r="28" customFormat="false" ht="15" hidden="false" customHeight="true" outlineLevel="0" collapsed="false">
      <c r="A28" s="15" t="s">
        <v>73</v>
      </c>
      <c r="B28" s="35" t="n">
        <f aca="false">Datos!B32</f>
        <v>850</v>
      </c>
      <c r="C28" s="35" t="n">
        <f aca="false">Datos!C32</f>
        <v>650</v>
      </c>
      <c r="D28" s="35" t="n">
        <f aca="false">B28-C28</f>
        <v>200</v>
      </c>
      <c r="E28" s="36" t="n">
        <f aca="false">IFERROR(D28/ABS(C28),0)</f>
        <v>0.307692307692308</v>
      </c>
      <c r="F28" s="36" t="n">
        <f aca="false">IFERROR(B28/Datos!B24,0)</f>
        <v>0.168316831683168</v>
      </c>
      <c r="G28" s="36" t="n">
        <f aca="false">IFERROR(C28/Datos!C24,0)</f>
        <v>0.146067415730337</v>
      </c>
      <c r="H28" s="37" t="str">
        <f aca="false">IF(ABS(E28)&gt;0.2,"Variación fuerte","")</f>
        <v>Variación fuerte</v>
      </c>
    </row>
    <row r="29" customFormat="false" ht="15" hidden="false" customHeight="true" outlineLevel="0" collapsed="false">
      <c r="A29" s="11" t="s">
        <v>68</v>
      </c>
      <c r="B29" s="32" t="n">
        <f aca="false">Datos!B28</f>
        <v>98</v>
      </c>
      <c r="C29" s="32" t="n">
        <f aca="false">Datos!C28</f>
        <v>91</v>
      </c>
      <c r="D29" s="32" t="n">
        <f aca="false">B29-C29</f>
        <v>7</v>
      </c>
      <c r="E29" s="33" t="n">
        <f aca="false">IFERROR(D29/ABS(C29),0)</f>
        <v>0.0769230769230769</v>
      </c>
      <c r="F29" s="33" t="n">
        <f aca="false">IFERROR(B29/Datos!B24,0)</f>
        <v>0.0194059405940594</v>
      </c>
      <c r="G29" s="33" t="n">
        <f aca="false">IFERROR(C29/Datos!C24,0)</f>
        <v>0.0204494382022472</v>
      </c>
      <c r="H29" s="34" t="str">
        <f aca="false">IF(ABS(E29)&gt;0.2,"Variación fuerte","")</f>
        <v/>
      </c>
    </row>
    <row r="30" customFormat="false" ht="15" hidden="false" customHeight="true" outlineLevel="0" collapsed="false">
      <c r="A30" s="11" t="s">
        <v>70</v>
      </c>
      <c r="B30" s="32" t="n">
        <f aca="false">Datos!B29</f>
        <v>250</v>
      </c>
      <c r="C30" s="32" t="n">
        <f aca="false">Datos!C29</f>
        <v>190</v>
      </c>
      <c r="D30" s="32" t="n">
        <f aca="false">B30-C30</f>
        <v>60</v>
      </c>
      <c r="E30" s="33" t="n">
        <f aca="false">IFERROR(D30/ABS(C30),0)</f>
        <v>0.315789473684211</v>
      </c>
      <c r="F30" s="33" t="n">
        <f aca="false">IFERROR(B30/Datos!B24,0)</f>
        <v>0.0495049504950495</v>
      </c>
      <c r="G30" s="33" t="n">
        <f aca="false">IFERROR(C30/Datos!C24,0)</f>
        <v>0.0426966292134832</v>
      </c>
      <c r="H30" s="34" t="str">
        <f aca="false">IF(ABS(E30)&gt;0.2,"Variación fuerte","")</f>
        <v>Variación fuerte</v>
      </c>
    </row>
    <row r="31" customFormat="false" ht="15" hidden="false" customHeight="true" outlineLevel="0" collapsed="false">
      <c r="A31" s="15" t="s">
        <v>74</v>
      </c>
      <c r="B31" s="35" t="n">
        <f aca="false">Datos!B33</f>
        <v>502</v>
      </c>
      <c r="C31" s="35" t="n">
        <f aca="false">Datos!C33</f>
        <v>369</v>
      </c>
      <c r="D31" s="35" t="n">
        <f aca="false">B31-C31</f>
        <v>133</v>
      </c>
      <c r="E31" s="36" t="n">
        <f aca="false">IFERROR(D31/ABS(C31),0)</f>
        <v>0.360433604336043</v>
      </c>
      <c r="F31" s="36" t="n">
        <f aca="false">IFERROR(B31/Datos!B24,0)</f>
        <v>0.0994059405940594</v>
      </c>
      <c r="G31" s="36" t="n">
        <f aca="false">IFERROR(C31/Datos!C24,0)</f>
        <v>0.0829213483146067</v>
      </c>
      <c r="H31" s="37" t="str">
        <f aca="false">IF(ABS(E31)&gt;0.2,"Variación fuerte","")</f>
        <v>Variación fuerte</v>
      </c>
    </row>
    <row r="33" customFormat="false" ht="15" hidden="false" customHeight="true" outlineLevel="0" collapsed="false">
      <c r="A33" s="9" t="s">
        <v>212</v>
      </c>
      <c r="B33" s="10"/>
      <c r="C33" s="10"/>
      <c r="D33" s="10"/>
      <c r="E33" s="10"/>
      <c r="F33" s="10"/>
      <c r="G33" s="10"/>
      <c r="H33" s="10"/>
    </row>
    <row r="34" customFormat="false" ht="15" hidden="false" customHeight="true" outlineLevel="0" collapsed="false">
      <c r="A34" s="11" t="s">
        <v>76</v>
      </c>
      <c r="B34" s="32" t="n">
        <f aca="false">Datos!B36</f>
        <v>305</v>
      </c>
      <c r="C34" s="32" t="n">
        <f aca="false">Datos!C36</f>
        <v>270</v>
      </c>
      <c r="D34" s="32" t="n">
        <f aca="false">B34-C34</f>
        <v>35</v>
      </c>
      <c r="E34" s="33" t="n">
        <f aca="false">IFERROR(D34/ABS(C34),0)</f>
        <v>0.12962962962963</v>
      </c>
      <c r="F34" s="33" t="n">
        <f aca="false">IFERROR(B34/Datos!B24,0)</f>
        <v>0.0603960396039604</v>
      </c>
      <c r="G34" s="33" t="n">
        <f aca="false">IFERROR(C34/Datos!C24,0)</f>
        <v>0.0606741573033708</v>
      </c>
      <c r="H34" s="34" t="str">
        <f aca="false">IF(ABS(E34)&gt;0.2,"Variación fuerte","")</f>
        <v/>
      </c>
    </row>
    <row r="35" customFormat="false" ht="15" hidden="false" customHeight="true" outlineLevel="0" collapsed="false">
      <c r="A35" s="11" t="s">
        <v>78</v>
      </c>
      <c r="B35" s="32" t="n">
        <f aca="false">Datos!B37</f>
        <v>150</v>
      </c>
      <c r="C35" s="32" t="n">
        <f aca="false">Datos!C37</f>
        <v>130</v>
      </c>
      <c r="D35" s="32" t="n">
        <f aca="false">B35-C35</f>
        <v>20</v>
      </c>
      <c r="E35" s="33" t="n">
        <f aca="false">IFERROR(D35/ABS(C35),0)</f>
        <v>0.153846153846154</v>
      </c>
      <c r="F35" s="33" t="n">
        <f aca="false">IFERROR(B35/Datos!B24,0)</f>
        <v>0.0297029702970297</v>
      </c>
      <c r="G35" s="33" t="n">
        <f aca="false">IFERROR(C35/Datos!C24,0)</f>
        <v>0.0292134831460674</v>
      </c>
      <c r="H35" s="34" t="str">
        <f aca="false">IF(ABS(E35)&gt;0.2,"Variación fuerte","")</f>
        <v/>
      </c>
    </row>
    <row r="36" customFormat="false" ht="15" hidden="false" customHeight="true" outlineLevel="0" collapsed="false">
      <c r="A36" s="15" t="s">
        <v>79</v>
      </c>
      <c r="B36" s="35" t="n">
        <f aca="false">Datos!B38</f>
        <v>155</v>
      </c>
      <c r="C36" s="35" t="n">
        <f aca="false">Datos!C38</f>
        <v>140</v>
      </c>
      <c r="D36" s="35" t="n">
        <f aca="false">B36-C36</f>
        <v>15</v>
      </c>
      <c r="E36" s="36" t="n">
        <f aca="false">IFERROR(D36/ABS(C36),0)</f>
        <v>0.107142857142857</v>
      </c>
      <c r="F36" s="36" t="n">
        <f aca="false">IFERROR(B36/Datos!B24,0)</f>
        <v>0.0306930693069307</v>
      </c>
      <c r="G36" s="36" t="n">
        <f aca="false">IFERROR(C36/Datos!C24,0)</f>
        <v>0.0314606741573034</v>
      </c>
      <c r="H36" s="37" t="str">
        <f aca="false">IF(ABS(E36)&gt;0.2,"Variación fuerte","")</f>
        <v/>
      </c>
    </row>
    <row r="38" customFormat="false" ht="15" hidden="false" customHeight="true" outlineLevel="0" collapsed="false">
      <c r="A38" s="31" t="s">
        <v>213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86"/>
  </cols>
  <sheetData>
    <row r="1" customFormat="false" ht="33.75" hidden="false" customHeight="true" outlineLevel="0" collapsed="false">
      <c r="A1" s="2" t="s">
        <v>214</v>
      </c>
      <c r="B1" s="2"/>
      <c r="C1" s="2"/>
      <c r="D1" s="2"/>
    </row>
    <row r="2" customFormat="false" ht="15" hidden="false" customHeight="true" outlineLevel="0" collapsed="false">
      <c r="A2" s="3" t="s">
        <v>215</v>
      </c>
      <c r="B2" s="3"/>
      <c r="C2" s="3"/>
      <c r="D2" s="3"/>
    </row>
    <row r="4" customFormat="false" ht="30" hidden="false" customHeight="true" outlineLevel="0" collapsed="false">
      <c r="A4" s="8" t="s">
        <v>39</v>
      </c>
      <c r="B4" s="8" t="s">
        <v>127</v>
      </c>
      <c r="C4" s="8" t="s">
        <v>128</v>
      </c>
      <c r="D4" s="8" t="s">
        <v>216</v>
      </c>
    </row>
    <row r="5" customFormat="false" ht="15" hidden="false" customHeight="true" outlineLevel="0" collapsed="false">
      <c r="A5" s="9" t="s">
        <v>217</v>
      </c>
      <c r="B5" s="10"/>
      <c r="C5" s="10"/>
      <c r="D5" s="10"/>
    </row>
    <row r="6" customFormat="false" ht="15" hidden="false" customHeight="true" outlineLevel="0" collapsed="false">
      <c r="A6" s="15" t="s">
        <v>218</v>
      </c>
      <c r="B6" s="38" t="n">
        <f aca="false">Datos!B8+Datos!B9-Datos!B15</f>
        <v>1430</v>
      </c>
      <c r="C6" s="38" t="n">
        <f aca="false">Datos!C8+Datos!C9-Datos!C15</f>
        <v>1230</v>
      </c>
      <c r="D6" s="21" t="s">
        <v>219</v>
      </c>
    </row>
    <row r="7" customFormat="false" ht="15" hidden="false" customHeight="true" outlineLevel="0" collapsed="false">
      <c r="A7" s="11" t="s">
        <v>220</v>
      </c>
      <c r="B7" s="39" t="n">
        <f aca="false">Datos!B24*365/Datos!B40</f>
        <v>10183.7016574586</v>
      </c>
      <c r="C7" s="39" t="n">
        <f aca="false">Datos!C24*365/Datos!C40</f>
        <v>8973.75690607735</v>
      </c>
      <c r="D7" s="21" t="s">
        <v>221</v>
      </c>
    </row>
    <row r="8" customFormat="false" ht="15" hidden="false" customHeight="true" outlineLevel="0" collapsed="false">
      <c r="A8" s="11" t="s">
        <v>222</v>
      </c>
      <c r="B8" s="40" t="n">
        <f aca="false">IFERROR(B6/B7,0)</f>
        <v>0.140420453004205</v>
      </c>
      <c r="C8" s="40" t="n">
        <f aca="false">IFERROR(C6/C7,0)</f>
        <v>0.137066338309989</v>
      </c>
      <c r="D8" s="21" t="s">
        <v>223</v>
      </c>
    </row>
    <row r="9" customFormat="false" ht="15" hidden="false" customHeight="true" outlineLevel="0" collapsed="false">
      <c r="A9" s="11" t="s">
        <v>224</v>
      </c>
      <c r="B9" s="41" t="n">
        <f aca="false">B8*365</f>
        <v>51.2534653465347</v>
      </c>
      <c r="C9" s="41" t="n">
        <f aca="false">C8*365</f>
        <v>50.0292134831461</v>
      </c>
      <c r="D9" s="21" t="s">
        <v>225</v>
      </c>
    </row>
    <row r="10" customFormat="false" ht="15" hidden="false" customHeight="true" outlineLevel="0" collapsed="false">
      <c r="A10" s="11" t="s">
        <v>226</v>
      </c>
      <c r="B10" s="42" t="n">
        <f aca="false">IFERROR((B6-C6)/(B7-C7),0)</f>
        <v>0.165296803652968</v>
      </c>
      <c r="D10" s="21" t="s">
        <v>227</v>
      </c>
    </row>
    <row r="12" customFormat="false" ht="15" hidden="false" customHeight="true" outlineLevel="0" collapsed="false">
      <c r="A12" s="9" t="s">
        <v>228</v>
      </c>
      <c r="B12" s="10"/>
      <c r="C12" s="10"/>
      <c r="D12" s="10"/>
    </row>
    <row r="13" customFormat="false" ht="15" hidden="false" customHeight="true" outlineLevel="0" collapsed="false">
      <c r="A13" s="11" t="s">
        <v>167</v>
      </c>
      <c r="B13" s="40" t="n">
        <f aca="false">IFERROR(Datos!B33/Datos!B24,0)</f>
        <v>0.0994059405940594</v>
      </c>
      <c r="C13" s="40" t="n">
        <f aca="false">IFERROR(Datos!C33/Datos!C24,0)</f>
        <v>0.0829213483146067</v>
      </c>
      <c r="D13" s="21" t="s">
        <v>229</v>
      </c>
    </row>
    <row r="14" customFormat="false" ht="15" hidden="false" customHeight="true" outlineLevel="0" collapsed="false">
      <c r="A14" s="11" t="s">
        <v>230</v>
      </c>
      <c r="B14" s="43" t="n">
        <f aca="false">IFERROR(B7/Datos!B13,0)</f>
        <v>1.85158211953792</v>
      </c>
      <c r="C14" s="43" t="n">
        <f aca="false">IFERROR(C7/Datos!C13,0)</f>
        <v>1.78760097730624</v>
      </c>
      <c r="D14" s="21" t="s">
        <v>231</v>
      </c>
    </row>
    <row r="15" customFormat="false" ht="15" hidden="false" customHeight="true" outlineLevel="0" collapsed="false">
      <c r="A15" s="11" t="s">
        <v>232</v>
      </c>
      <c r="B15" s="43" t="n">
        <f aca="false">IFERROR(Datos!B13/Datos!B20,0)</f>
        <v>2.29166666666667</v>
      </c>
      <c r="C15" s="43" t="n">
        <f aca="false">IFERROR(Datos!C13/Datos!C20,0)</f>
        <v>2.42512077294686</v>
      </c>
      <c r="D15" s="21" t="s">
        <v>233</v>
      </c>
    </row>
    <row r="16" customFormat="false" ht="15" hidden="false" customHeight="true" outlineLevel="0" collapsed="false">
      <c r="A16" s="15" t="s">
        <v>234</v>
      </c>
      <c r="B16" s="44" t="n">
        <f aca="false">B13*B14*B15</f>
        <v>0.421800184162063</v>
      </c>
      <c r="C16" s="44" t="n">
        <f aca="false">C13*C14*C15</f>
        <v>0.359476339178477</v>
      </c>
      <c r="D16" s="21" t="s">
        <v>235</v>
      </c>
    </row>
    <row r="18" customFormat="false" ht="15" hidden="false" customHeight="true" outlineLevel="0" collapsed="false">
      <c r="A18" s="9" t="s">
        <v>236</v>
      </c>
      <c r="B18" s="10"/>
      <c r="C18" s="10"/>
      <c r="D18" s="10"/>
    </row>
    <row r="19" customFormat="false" ht="15" hidden="false" customHeight="true" outlineLevel="0" collapsed="false">
      <c r="A19" s="11" t="s">
        <v>237</v>
      </c>
      <c r="B19" s="39" t="n">
        <f aca="false">Datos!B31</f>
        <v>962</v>
      </c>
      <c r="C19" s="39" t="n">
        <f aca="false">Datos!C31</f>
        <v>755</v>
      </c>
      <c r="D19" s="21"/>
    </row>
    <row r="20" customFormat="false" ht="15" hidden="false" customHeight="true" outlineLevel="0" collapsed="false">
      <c r="A20" s="11" t="s">
        <v>238</v>
      </c>
      <c r="B20" s="39" t="n">
        <f aca="false">Datos!B44</f>
        <v>0</v>
      </c>
      <c r="C20" s="39" t="n">
        <f aca="false">Datos!C44</f>
        <v>0</v>
      </c>
      <c r="D20" s="21" t="s">
        <v>239</v>
      </c>
    </row>
    <row r="21" customFormat="false" ht="15" hidden="false" customHeight="true" outlineLevel="0" collapsed="false">
      <c r="A21" s="11" t="s">
        <v>240</v>
      </c>
      <c r="B21" s="39" t="n">
        <f aca="false">Datos!B45</f>
        <v>0</v>
      </c>
      <c r="C21" s="39" t="n">
        <f aca="false">Datos!C45</f>
        <v>0</v>
      </c>
      <c r="D21" s="21" t="s">
        <v>241</v>
      </c>
    </row>
    <row r="22" customFormat="false" ht="15" hidden="false" customHeight="true" outlineLevel="0" collapsed="false">
      <c r="A22" s="15" t="s">
        <v>242</v>
      </c>
      <c r="B22" s="38" t="n">
        <f aca="false">B19+B20-B21</f>
        <v>962</v>
      </c>
      <c r="C22" s="38" t="n">
        <f aca="false">C19+C20-C21</f>
        <v>755</v>
      </c>
      <c r="D22" s="21" t="s">
        <v>243</v>
      </c>
    </row>
    <row r="23" customFormat="false" ht="15" hidden="false" customHeight="true" outlineLevel="0" collapsed="false">
      <c r="A23" s="11" t="s">
        <v>244</v>
      </c>
      <c r="B23" s="40" t="n">
        <f aca="false">IFERROR(B22/Datos!B24,0)</f>
        <v>0.190495049504951</v>
      </c>
      <c r="C23" s="40" t="n">
        <f aca="false">IFERROR(C22/Datos!C24,0)</f>
        <v>0.169662921348315</v>
      </c>
      <c r="D23" s="21"/>
    </row>
    <row r="25" customFormat="false" ht="15" hidden="false" customHeight="true" outlineLevel="0" collapsed="false">
      <c r="A25" s="9" t="s">
        <v>245</v>
      </c>
      <c r="B25" s="10"/>
      <c r="C25" s="10"/>
      <c r="D25" s="10"/>
    </row>
    <row r="26" customFormat="false" ht="27.75" hidden="false" customHeight="true" outlineLevel="0" collapsed="false">
      <c r="A26" s="11" t="s">
        <v>246</v>
      </c>
      <c r="B26" s="39" t="n">
        <f aca="false">IF(Datos!B40&gt;=365,Datos!B24,IF(Datos!B47="","n/d",Datos!B47+Datos!B24-Datos!C24))</f>
        <v>9900</v>
      </c>
      <c r="C26" s="39" t="n">
        <f aca="false">IF(Datos!B47="","n/d",Datos!B47)</f>
        <v>9300</v>
      </c>
      <c r="D26" s="21" t="s">
        <v>247</v>
      </c>
    </row>
    <row r="27" customFormat="false" ht="15" hidden="false" customHeight="true" outlineLevel="0" collapsed="false">
      <c r="A27" s="15" t="s">
        <v>72</v>
      </c>
      <c r="B27" s="38" t="n">
        <f aca="false">IF(Datos!B40&gt;=365,Datos!B31,IF(OR(Datos!B47="",Datos!B48="",Datos!B49=""),"n/d",(Datos!B47-Datos!B48-Datos!B49)+Datos!B31-Datos!C31))</f>
        <v>1867</v>
      </c>
      <c r="C27" s="38" t="n">
        <f aca="false">IF(OR(Datos!B47="",Datos!B48="",Datos!B49=""),"n/d",Datos!B47-Datos!B48-Datos!B49)</f>
        <v>1660</v>
      </c>
      <c r="D27" s="21" t="s">
        <v>248</v>
      </c>
    </row>
    <row r="28" customFormat="false" ht="15" hidden="false" customHeight="true" outlineLevel="0" collapsed="false">
      <c r="A28" s="11" t="s">
        <v>76</v>
      </c>
      <c r="B28" s="39" t="n">
        <f aca="false">IF(Datos!B40&gt;=365,Datos!B36,IF(Datos!B51="","n/d",Datos!B51+Datos!B36-Datos!C36))</f>
        <v>675</v>
      </c>
      <c r="C28" s="39" t="n">
        <f aca="false">IF(Datos!B51="","n/d",Datos!B51)</f>
        <v>640</v>
      </c>
      <c r="D28" s="21"/>
    </row>
    <row r="29" customFormat="false" ht="15" hidden="false" customHeight="true" outlineLevel="0" collapsed="false">
      <c r="A29" s="11" t="s">
        <v>74</v>
      </c>
      <c r="B29" s="39" t="n">
        <f aca="false">IF(Datos!B40&gt;=365,Datos!B33,IF(Datos!B52="","n/d",Datos!B52+Datos!B33-Datos!C33))</f>
        <v>793</v>
      </c>
      <c r="C29" s="39" t="n">
        <f aca="false">IF(Datos!B52="","n/d",Datos!B52)</f>
        <v>660</v>
      </c>
      <c r="D29" s="21"/>
    </row>
    <row r="30" customFormat="false" ht="15" hidden="false" customHeight="true" outlineLevel="0" collapsed="false">
      <c r="A30" s="11" t="s">
        <v>249</v>
      </c>
      <c r="B30" s="40" t="n">
        <f aca="false">IFERROR(B27/B26,"n/d")</f>
        <v>0.188585858585859</v>
      </c>
      <c r="C30" s="40" t="n">
        <f aca="false">IFERROR(C27/C26,"n/d")</f>
        <v>0.178494623655914</v>
      </c>
      <c r="D30" s="21"/>
    </row>
    <row r="32" customFormat="false" ht="15" hidden="false" customHeight="true" outlineLevel="0" collapsed="false">
      <c r="A32" s="9" t="s">
        <v>250</v>
      </c>
      <c r="B32" s="10"/>
      <c r="C32" s="10"/>
      <c r="D32" s="10"/>
    </row>
    <row r="33" customFormat="false" ht="15" hidden="false" customHeight="true" outlineLevel="0" collapsed="false">
      <c r="A33" s="11" t="s">
        <v>251</v>
      </c>
      <c r="B33" s="39" t="n">
        <f aca="false">Datos!B14</f>
        <v>700</v>
      </c>
      <c r="C33" s="39" t="n">
        <f aca="false">Datos!C14</f>
        <v>650</v>
      </c>
      <c r="D33" s="21"/>
    </row>
    <row r="34" customFormat="false" ht="15" hidden="false" customHeight="true" outlineLevel="0" collapsed="false">
      <c r="A34" s="11" t="s">
        <v>252</v>
      </c>
      <c r="B34" s="39" t="n">
        <f aca="false">Datos!B43</f>
        <v>1200</v>
      </c>
      <c r="C34" s="39" t="n">
        <f aca="false">Datos!C43</f>
        <v>1250</v>
      </c>
      <c r="D34" s="21"/>
    </row>
    <row r="35" customFormat="false" ht="15" hidden="false" customHeight="true" outlineLevel="0" collapsed="false">
      <c r="A35" s="15" t="s">
        <v>253</v>
      </c>
      <c r="B35" s="38" t="n">
        <f aca="false">B33+B34</f>
        <v>1900</v>
      </c>
      <c r="C35" s="38" t="n">
        <f aca="false">C33+C34</f>
        <v>1900</v>
      </c>
      <c r="D35" s="21"/>
    </row>
    <row r="36" customFormat="false" ht="15" hidden="false" customHeight="true" outlineLevel="0" collapsed="false">
      <c r="A36" s="11" t="s">
        <v>254</v>
      </c>
      <c r="B36" s="39" t="n">
        <f aca="false">B35-Datos!B7</f>
        <v>1480</v>
      </c>
      <c r="C36" s="39" t="n">
        <f aca="false">C35-Datos!C7</f>
        <v>1520</v>
      </c>
      <c r="D36" s="21"/>
    </row>
    <row r="37" customFormat="false" ht="27.75" hidden="false" customHeight="true" outlineLevel="0" collapsed="false">
      <c r="A37" s="15" t="s">
        <v>255</v>
      </c>
      <c r="B37" s="45" t="n">
        <f aca="false">IFERROR(B36/B27,"n/d")</f>
        <v>0.79271558650241</v>
      </c>
      <c r="C37" s="45" t="n">
        <f aca="false">IFERROR(C36/C27,"n/d")</f>
        <v>0.91566265060241</v>
      </c>
      <c r="D37" s="21" t="s">
        <v>256</v>
      </c>
    </row>
    <row r="38" customFormat="false" ht="15" hidden="false" customHeight="true" outlineLevel="0" collapsed="false">
      <c r="A38" s="11" t="s">
        <v>257</v>
      </c>
      <c r="B38" s="43" t="n">
        <f aca="false">IFERROR(B35/B27,"n/d")</f>
        <v>1.01767541510445</v>
      </c>
      <c r="C38" s="43" t="n">
        <f aca="false">IFERROR(C35/C27,"n/d")</f>
        <v>1.14457831325301</v>
      </c>
      <c r="D38" s="21"/>
    </row>
    <row r="39" customFormat="false" ht="15" hidden="false" customHeight="true" outlineLevel="0" collapsed="false">
      <c r="A39" s="11" t="s">
        <v>258</v>
      </c>
      <c r="B39" s="43" t="n">
        <f aca="false">IFERROR(Datos!B36/Datos!B39,"n/d")</f>
        <v>1.43192488262911</v>
      </c>
      <c r="C39" s="43" t="n">
        <f aca="false">IFERROR(Datos!C36/Datos!C39,"n/d")</f>
        <v>1.34328358208955</v>
      </c>
      <c r="D39" s="21" t="s">
        <v>259</v>
      </c>
    </row>
    <row r="40" customFormat="false" ht="15" hidden="false" customHeight="true" outlineLevel="0" collapsed="false">
      <c r="A40" s="11" t="s">
        <v>260</v>
      </c>
      <c r="B40" s="40" t="n">
        <f aca="false">IFERROR(Datos!B28*365/Datos!B40/AVERAGE(B35,C35),"n/d")</f>
        <v>0.104012794416982</v>
      </c>
      <c r="D40" s="21" t="s">
        <v>261</v>
      </c>
    </row>
    <row r="41" customFormat="false" ht="15" hidden="false" customHeight="true" outlineLevel="0" collapsed="false">
      <c r="A41" s="11" t="s">
        <v>262</v>
      </c>
      <c r="B41" s="40" t="n">
        <f aca="false">IFERROR(B33/B35,0)</f>
        <v>0.368421052631579</v>
      </c>
      <c r="C41" s="40" t="n">
        <f aca="false">IFERROR(C33/C35,0)</f>
        <v>0.342105263157895</v>
      </c>
      <c r="D41" s="21" t="s">
        <v>263</v>
      </c>
    </row>
    <row r="42" customFormat="false" ht="15" hidden="false" customHeight="true" outlineLevel="0" collapsed="false">
      <c r="A42" s="11" t="s">
        <v>264</v>
      </c>
      <c r="B42" s="40" t="n">
        <f aca="false">IFERROR(Datos!B19/Datos!B13,0)</f>
        <v>0.563636363636364</v>
      </c>
      <c r="C42" s="40" t="n">
        <f aca="false">IFERROR(Datos!C19/Datos!C13,0)</f>
        <v>0.587649402390438</v>
      </c>
      <c r="D42" s="21"/>
    </row>
    <row r="44" customFormat="false" ht="15" hidden="false" customHeight="true" outlineLevel="0" collapsed="false">
      <c r="A44" s="9" t="s">
        <v>265</v>
      </c>
      <c r="B44" s="10"/>
      <c r="C44" s="10"/>
      <c r="D44" s="10"/>
    </row>
    <row r="45" customFormat="false" ht="15" hidden="false" customHeight="true" outlineLevel="0" collapsed="false">
      <c r="A45" s="46" t="s">
        <v>266</v>
      </c>
      <c r="B45" s="46" t="s">
        <v>127</v>
      </c>
      <c r="C45" s="46" t="s">
        <v>267</v>
      </c>
      <c r="D45" s="46" t="s">
        <v>268</v>
      </c>
    </row>
    <row r="46" customFormat="false" ht="15" hidden="false" customHeight="true" outlineLevel="0" collapsed="false">
      <c r="A46" s="11" t="s">
        <v>269</v>
      </c>
      <c r="B46" s="30" t="n">
        <f aca="false">B42</f>
        <v>0.563636363636364</v>
      </c>
      <c r="C46" s="30" t="n">
        <f aca="false">IF(Datos!B54="","",Datos!B54)</f>
        <v>0.65</v>
      </c>
      <c r="D46" s="15" t="str">
        <f aca="false">IF(OR(C46="",NOT(ISNUMBER(B46))),"Sin dato",IF(B46&lt;=C46,"Cumple · holgura "&amp;TEXT(C46-B46,"0.0%"),"INCUMPLE"))</f>
        <v>Cumple · holgura 8.6%</v>
      </c>
    </row>
    <row r="47" customFormat="false" ht="15" hidden="false" customHeight="true" outlineLevel="0" collapsed="false">
      <c r="A47" s="11" t="s">
        <v>270</v>
      </c>
      <c r="B47" s="22" t="n">
        <f aca="false">B37</f>
        <v>0.79271558650241</v>
      </c>
      <c r="C47" s="22" t="n">
        <f aca="false">IF(Datos!B56="","",Datos!B56)</f>
        <v>3</v>
      </c>
      <c r="D47" s="15" t="str">
        <f aca="false">IF(OR(C47="",NOT(ISNUMBER(B47))),"Sin dato",IF(B47&lt;=C47,"Cumple · holgura "&amp;TEXT(C47-B47,"0.00"),"INCUMPLE"))</f>
        <v>Cumple · holgura 2.21</v>
      </c>
    </row>
    <row r="48" customFormat="false" ht="15" hidden="false" customHeight="true" outlineLevel="0" collapsed="false">
      <c r="A48" s="11" t="s">
        <v>271</v>
      </c>
      <c r="B48" s="22" t="n">
        <f aca="false">B39</f>
        <v>1.43192488262911</v>
      </c>
      <c r="C48" s="22" t="n">
        <f aca="false">IF(Datos!B55="","",Datos!B55)</f>
        <v>1.2</v>
      </c>
      <c r="D48" s="15" t="str">
        <f aca="false">IF(OR(C48="",NOT(ISNUMBER(B48))),"Sin dato",IF(B48&gt;=C48,"Cumple · holgura "&amp;TEXT(B48-C48,"0.00"),"INCUMPLE"))</f>
        <v>Cumple · holgura 0.23</v>
      </c>
    </row>
    <row r="50" customFormat="false" ht="15" hidden="false" customHeight="true" outlineLevel="0" collapsed="false">
      <c r="A50" s="9" t="s">
        <v>272</v>
      </c>
      <c r="B50" s="10"/>
      <c r="C50" s="10"/>
      <c r="D50" s="10"/>
    </row>
    <row r="51" customFormat="false" ht="15" hidden="false" customHeight="true" outlineLevel="0" collapsed="false">
      <c r="A51" s="46" t="s">
        <v>273</v>
      </c>
      <c r="B51" s="46" t="s">
        <v>274</v>
      </c>
      <c r="C51" s="46" t="s">
        <v>275</v>
      </c>
      <c r="D51" s="46" t="s">
        <v>276</v>
      </c>
    </row>
    <row r="52" customFormat="false" ht="15" hidden="false" customHeight="true" outlineLevel="0" collapsed="false">
      <c r="A52" s="11" t="s">
        <v>277</v>
      </c>
      <c r="B52" s="27" t="n">
        <f aca="false">IF(Datos!B57="",0,Datos!B57)</f>
        <v>700</v>
      </c>
      <c r="C52" s="30" t="n">
        <f aca="false">IFERROR(B52/B56,0)</f>
        <v>0.368421052631579</v>
      </c>
      <c r="D52" s="17" t="str">
        <f aca="false">IF(C52&gt;0.5,"Concentración alta en el año 1: riesgo de refinanciación","")</f>
        <v/>
      </c>
    </row>
    <row r="53" customFormat="false" ht="15" hidden="false" customHeight="true" outlineLevel="0" collapsed="false">
      <c r="A53" s="11" t="s">
        <v>278</v>
      </c>
      <c r="B53" s="27" t="n">
        <f aca="false">IF(Datos!B58="",0,Datos!B58)</f>
        <v>400</v>
      </c>
      <c r="C53" s="30" t="n">
        <f aca="false">IFERROR(B53/B56,0)</f>
        <v>0.210526315789474</v>
      </c>
    </row>
    <row r="54" customFormat="false" ht="15" hidden="false" customHeight="true" outlineLevel="0" collapsed="false">
      <c r="A54" s="11" t="s">
        <v>279</v>
      </c>
      <c r="B54" s="27" t="n">
        <f aca="false">IF(Datos!B59="",0,Datos!B59)</f>
        <v>400</v>
      </c>
      <c r="C54" s="30" t="n">
        <f aca="false">IFERROR(B54/B56,0)</f>
        <v>0.210526315789474</v>
      </c>
    </row>
    <row r="55" customFormat="false" ht="15" hidden="false" customHeight="true" outlineLevel="0" collapsed="false">
      <c r="A55" s="11" t="s">
        <v>280</v>
      </c>
      <c r="B55" s="27" t="n">
        <f aca="false">IF(Datos!B60="",0,Datos!B60)</f>
        <v>400</v>
      </c>
      <c r="C55" s="30" t="n">
        <f aca="false">IFERROR(B55/B56,0)</f>
        <v>0.210526315789474</v>
      </c>
    </row>
    <row r="56" customFormat="false" ht="15" hidden="false" customHeight="true" outlineLevel="0" collapsed="false">
      <c r="A56" s="15" t="s">
        <v>281</v>
      </c>
      <c r="B56" s="16" t="n">
        <f aca="false">SUM(B52:B55)</f>
        <v>1900</v>
      </c>
      <c r="D56" s="15" t="str">
        <f aca="false">IF(B56=0,"Sin datos de vencimientos",IF(ABS(B56-B35)&lt;1,"Cuadra con la deuda total","No cuadra con la deuda total: revisar la nota"))</f>
        <v>Cuadra con la deuda total</v>
      </c>
    </row>
    <row r="58" customFormat="false" ht="15" hidden="false" customHeight="true" outlineLevel="0" collapsed="false">
      <c r="A58" s="31" t="s">
        <v>282</v>
      </c>
    </row>
  </sheetData>
  <mergeCells count="2">
    <mergeCell ref="A1:D1"/>
    <mergeCell ref="A2:D2"/>
  </mergeCells>
  <conditionalFormatting sqref="D5:D58">
    <cfRule type="expression" priority="2" aboveAverage="0" equalAverage="0" bottom="0" percent="0" rank="0" text="" dxfId="2">
      <formula>LEFT(D5,6)="Cumple"</formula>
    </cfRule>
    <cfRule type="expression" priority="3" aboveAverage="0" equalAverage="0" bottom="0" percent="0" rank="0" text="" dxfId="3">
      <formula>D5="INCUMPLE"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18"/>
    <col collapsed="false" customWidth="true" hidden="false" outlineLevel="0" max="4" min="4" style="1" width="86"/>
  </cols>
  <sheetData>
    <row r="1" customFormat="false" ht="33.75" hidden="false" customHeight="true" outlineLevel="0" collapsed="false">
      <c r="A1" s="2" t="s">
        <v>283</v>
      </c>
      <c r="B1" s="2"/>
      <c r="C1" s="2"/>
      <c r="D1" s="2"/>
    </row>
    <row r="2" customFormat="false" ht="15" hidden="false" customHeight="true" outlineLevel="0" collapsed="false">
      <c r="A2" s="3" t="s">
        <v>284</v>
      </c>
      <c r="B2" s="3"/>
      <c r="C2" s="3"/>
      <c r="D2" s="3"/>
    </row>
    <row r="4" customFormat="false" ht="30" hidden="false" customHeight="true" outlineLevel="0" collapsed="false">
      <c r="A4" s="8" t="s">
        <v>39</v>
      </c>
      <c r="B4" s="8" t="s">
        <v>127</v>
      </c>
      <c r="C4" s="8" t="s">
        <v>128</v>
      </c>
      <c r="D4" s="8" t="s">
        <v>216</v>
      </c>
    </row>
    <row r="5" customFormat="false" ht="15" hidden="false" customHeight="true" outlineLevel="0" collapsed="false">
      <c r="A5" s="9" t="s">
        <v>285</v>
      </c>
      <c r="B5" s="10"/>
      <c r="C5" s="10"/>
      <c r="D5" s="10"/>
    </row>
    <row r="6" customFormat="false" ht="15" hidden="false" customHeight="true" outlineLevel="0" collapsed="false">
      <c r="A6" s="11" t="s">
        <v>286</v>
      </c>
      <c r="B6" s="39" t="n">
        <f aca="false">Datos!B32*365/Datos!B40</f>
        <v>1714.08839779006</v>
      </c>
      <c r="C6" s="39" t="n">
        <f aca="false">Datos!C32*365/Datos!C40</f>
        <v>1310.77348066298</v>
      </c>
      <c r="D6" s="21" t="s">
        <v>287</v>
      </c>
    </row>
    <row r="7" customFormat="false" ht="15" hidden="false" customHeight="true" outlineLevel="0" collapsed="false">
      <c r="A7" s="11" t="s">
        <v>288</v>
      </c>
      <c r="B7" s="40" t="n">
        <f aca="false">IFERROR(Datos!B29/(Datos!B32-Datos!B28),0)</f>
        <v>0.332446808510638</v>
      </c>
      <c r="C7" s="40" t="n">
        <f aca="false">IFERROR(Datos!C29/(Datos!C32-Datos!C28),0)</f>
        <v>0.339892665474061</v>
      </c>
      <c r="D7" s="21" t="s">
        <v>289</v>
      </c>
    </row>
    <row r="8" customFormat="false" ht="15" hidden="false" customHeight="true" outlineLevel="0" collapsed="false">
      <c r="A8" s="11" t="s">
        <v>290</v>
      </c>
      <c r="B8" s="39" t="n">
        <f aca="false">B6*(1-B7)</f>
        <v>1144.24518043964</v>
      </c>
      <c r="C8" s="39" t="n">
        <f aca="false">C6*(1-C7)</f>
        <v>865.25118848773</v>
      </c>
      <c r="D8" s="21"/>
    </row>
    <row r="9" customFormat="false" ht="15" hidden="false" customHeight="true" outlineLevel="0" collapsed="false">
      <c r="A9" s="11" t="s">
        <v>291</v>
      </c>
      <c r="B9" s="39" t="n">
        <f aca="false">Datos!B20+Avanzado!B35-Datos!B7</f>
        <v>3880</v>
      </c>
      <c r="C9" s="39" t="n">
        <f aca="false">Datos!C20+Avanzado!C35-Datos!C7</f>
        <v>3590</v>
      </c>
      <c r="D9" s="21" t="s">
        <v>292</v>
      </c>
    </row>
    <row r="10" customFormat="false" ht="15" hidden="false" customHeight="true" outlineLevel="0" collapsed="false">
      <c r="A10" s="15" t="s">
        <v>293</v>
      </c>
      <c r="B10" s="44" t="n">
        <f aca="false">IFERROR(B8/B9,0)</f>
        <v>0.294908551659701</v>
      </c>
      <c r="C10" s="44" t="n">
        <f aca="false">IFERROR(C8/C9,0)</f>
        <v>0.241017044147</v>
      </c>
      <c r="D10" s="21" t="s">
        <v>294</v>
      </c>
    </row>
    <row r="11" customFormat="false" ht="15" hidden="false" customHeight="true" outlineLevel="0" collapsed="false">
      <c r="A11" s="11" t="s">
        <v>295</v>
      </c>
      <c r="B11" s="40" t="n">
        <f aca="false">IFERROR(Avanzado!B35/(Avanzado!B35+Datos!B20),0)</f>
        <v>0.441860465116279</v>
      </c>
      <c r="C11" s="40" t="n">
        <f aca="false">IFERROR(Avanzado!C35/(Avanzado!C35+Datos!C20),0)</f>
        <v>0.478589420654912</v>
      </c>
      <c r="D11" s="21"/>
    </row>
    <row r="12" customFormat="false" ht="15" hidden="false" customHeight="true" outlineLevel="0" collapsed="false">
      <c r="A12" s="11" t="s">
        <v>296</v>
      </c>
      <c r="B12" s="40" t="n">
        <f aca="false">Avanzado!B40</f>
        <v>0.104012794416982</v>
      </c>
      <c r="D12" s="21" t="s">
        <v>297</v>
      </c>
    </row>
    <row r="13" customFormat="false" ht="15" hidden="false" customHeight="true" outlineLevel="0" collapsed="false">
      <c r="A13" s="15" t="s">
        <v>298</v>
      </c>
      <c r="B13" s="44" t="n">
        <f aca="false">IF(OR(Datos!B63="",NOT(ISNUMBER(B12))),"n/d",(1-B11)*Datos!B63+B11*B12*(1-B7))</f>
        <v>0.131145288011788</v>
      </c>
      <c r="D13" s="21" t="s">
        <v>299</v>
      </c>
    </row>
    <row r="14" customFormat="false" ht="15" hidden="false" customHeight="true" outlineLevel="0" collapsed="false">
      <c r="A14" s="11" t="s">
        <v>300</v>
      </c>
      <c r="B14" s="40" t="n">
        <f aca="false">IF(ISNUMBER(B13),B10-B13,"n/d")</f>
        <v>0.163763263647913</v>
      </c>
      <c r="D14" s="21" t="s">
        <v>301</v>
      </c>
    </row>
    <row r="15" customFormat="false" ht="15" hidden="false" customHeight="true" outlineLevel="0" collapsed="false">
      <c r="A15" s="15" t="s">
        <v>302</v>
      </c>
      <c r="B15" s="38" t="n">
        <f aca="false">IF(ISNUMBER(B14),B14*B9,"n/d")</f>
        <v>635.401462953901</v>
      </c>
      <c r="D15" s="21" t="s">
        <v>303</v>
      </c>
    </row>
    <row r="17" customFormat="false" ht="15" hidden="false" customHeight="true" outlineLevel="0" collapsed="false">
      <c r="A17" s="9" t="s">
        <v>304</v>
      </c>
      <c r="B17" s="10"/>
      <c r="C17" s="10"/>
      <c r="D17" s="10"/>
    </row>
    <row r="18" customFormat="false" ht="15" hidden="false" customHeight="true" outlineLevel="0" collapsed="false">
      <c r="A18" s="11" t="s">
        <v>305</v>
      </c>
      <c r="B18" s="47" t="n">
        <f aca="false">IFERROR((Datos!B11-Datos!B17)/Datos!B13,0)</f>
        <v>0.181818181818182</v>
      </c>
      <c r="C18" s="47" t="n">
        <f aca="false">IFERROR((Datos!C11-Datos!C17)/Datos!C13,0)</f>
        <v>0.163346613545817</v>
      </c>
      <c r="D18" s="21" t="s">
        <v>306</v>
      </c>
    </row>
    <row r="19" customFormat="false" ht="15" hidden="false" customHeight="true" outlineLevel="0" collapsed="false">
      <c r="A19" s="11" t="s">
        <v>307</v>
      </c>
      <c r="B19" s="47" t="n">
        <f aca="false">IF(Datos!B62="","n/d",IFERROR((Datos!B20-Datos!B62)/Datos!B13,0))</f>
        <v>0.290909090909091</v>
      </c>
      <c r="C19" s="47" t="n">
        <f aca="false">IF(Datos!C62="","n/d",IFERROR((Datos!C20-Datos!C62)/Datos!C13,0))</f>
        <v>0.252988047808765</v>
      </c>
      <c r="D19" s="21" t="s">
        <v>308</v>
      </c>
    </row>
    <row r="20" customFormat="false" ht="15" hidden="false" customHeight="true" outlineLevel="0" collapsed="false">
      <c r="A20" s="11" t="s">
        <v>309</v>
      </c>
      <c r="B20" s="47" t="n">
        <f aca="false">IFERROR(B6/Datos!B13,0)</f>
        <v>0.311652435961828</v>
      </c>
      <c r="C20" s="47" t="n">
        <f aca="false">IFERROR(C6/Datos!C13,0)</f>
        <v>0.261110255112148</v>
      </c>
      <c r="D20" s="21" t="s">
        <v>310</v>
      </c>
    </row>
    <row r="21" customFormat="false" ht="15" hidden="false" customHeight="true" outlineLevel="0" collapsed="false">
      <c r="A21" s="11" t="s">
        <v>311</v>
      </c>
      <c r="B21" s="47" t="n">
        <f aca="false">IFERROR(Datos!B20/Datos!B19,0)</f>
        <v>0.774193548387097</v>
      </c>
      <c r="C21" s="47" t="n">
        <f aca="false">IFERROR(Datos!C20/Datos!C19,0)</f>
        <v>0.701694915254237</v>
      </c>
      <c r="D21" s="21" t="s">
        <v>312</v>
      </c>
    </row>
    <row r="22" customFormat="false" ht="15" hidden="false" customHeight="true" outlineLevel="0" collapsed="false">
      <c r="A22" s="15" t="s">
        <v>313</v>
      </c>
      <c r="B22" s="48" t="n">
        <f aca="false">IF(ISNUMBER(B19),3.25+6.56*B18+3.26*B19+6.72*B20+1.05*B21,"n/d")</f>
        <v>8.29829850456085</v>
      </c>
      <c r="C22" s="48" t="n">
        <f aca="false">IF(ISNUMBER(C19),3.25+6.56*C18+3.26*C19+6.72*C20+1.05*C21,"n/d")</f>
        <v>7.63773539608772</v>
      </c>
      <c r="D22" s="21" t="s">
        <v>314</v>
      </c>
    </row>
    <row r="23" customFormat="false" ht="15" hidden="false" customHeight="true" outlineLevel="0" collapsed="false">
      <c r="A23" s="15" t="s">
        <v>315</v>
      </c>
      <c r="B23" s="49" t="str">
        <f aca="false">IF(ISNUMBER(B22),IF(B22&gt;5.85,"Zona segura",IF(B22&gt;=4.15,"Zona gris","Zona de riesgo")),"n/d")</f>
        <v>Zona segura</v>
      </c>
      <c r="C23" s="49" t="str">
        <f aca="false">IF(ISNUMBER(C22),IF(C22&gt;5.85,"Zona segura",IF(C22&gt;=4.15,"Zona gris","Zona de riesgo")),"n/d")</f>
        <v>Zona segura</v>
      </c>
      <c r="D23" s="21" t="s">
        <v>316</v>
      </c>
    </row>
    <row r="25" customFormat="false" ht="15" hidden="false" customHeight="true" outlineLevel="0" collapsed="false">
      <c r="A25" s="9" t="s">
        <v>317</v>
      </c>
      <c r="B25" s="10"/>
      <c r="C25" s="10"/>
      <c r="D25" s="10"/>
    </row>
    <row r="26" customFormat="false" ht="15" hidden="false" customHeight="true" outlineLevel="0" collapsed="false">
      <c r="A26" s="11" t="s">
        <v>318</v>
      </c>
      <c r="B26" s="40" t="n">
        <f aca="false">IFERROR((Datos!B24-Datos!B25)/Datos!B24,0)</f>
        <v>0.346534653465347</v>
      </c>
      <c r="C26" s="40" t="n">
        <f aca="false">IFERROR((Datos!C24-Datos!C25)/Datos!C24,0)</f>
        <v>0.337078651685393</v>
      </c>
      <c r="D26" s="21" t="s">
        <v>319</v>
      </c>
    </row>
    <row r="27" customFormat="false" ht="15" hidden="false" customHeight="true" outlineLevel="0" collapsed="false">
      <c r="A27" s="11" t="s">
        <v>320</v>
      </c>
      <c r="B27" s="39" t="n">
        <f aca="false">(Datos!B26+Datos!B27+Datos!B28)*365/Datos!B40</f>
        <v>2012.54143646409</v>
      </c>
      <c r="C27" s="39" t="n">
        <f aca="false">(Datos!C26+Datos!C27+Datos!C28)*365/Datos!C40</f>
        <v>1897.59668508287</v>
      </c>
      <c r="D27" s="21"/>
    </row>
    <row r="28" customFormat="false" ht="15" hidden="false" customHeight="true" outlineLevel="0" collapsed="false">
      <c r="A28" s="15" t="s">
        <v>321</v>
      </c>
      <c r="B28" s="38" t="n">
        <f aca="false">IFERROR(B27/B26,"n/d")</f>
        <v>5807.61957379637</v>
      </c>
      <c r="C28" s="38" t="n">
        <f aca="false">IFERROR(C27/C26,"n/d")</f>
        <v>5629.53683241252</v>
      </c>
      <c r="D28" s="21" t="s">
        <v>322</v>
      </c>
    </row>
    <row r="29" customFormat="false" ht="15" hidden="false" customHeight="true" outlineLevel="0" collapsed="false">
      <c r="A29" s="15" t="s">
        <v>323</v>
      </c>
      <c r="B29" s="44" t="n">
        <f aca="false">IFERROR((Avanzado!B7-B28)/Avanzado!B7,"n/d")</f>
        <v>0.429714285714286</v>
      </c>
      <c r="C29" s="44" t="n">
        <f aca="false">IFERROR((Avanzado!C7-C28)/Avanzado!C7,"n/d")</f>
        <v>0.372666666666667</v>
      </c>
      <c r="D29" s="21" t="s">
        <v>324</v>
      </c>
    </row>
    <row r="30" customFormat="false" ht="15" hidden="false" customHeight="true" outlineLevel="0" collapsed="false">
      <c r="A30" s="11" t="s">
        <v>325</v>
      </c>
      <c r="B30" s="43" t="n">
        <f aca="false">IFERROR(Avanzado!B7*B26/B6,"n/d")</f>
        <v>2.05882352941176</v>
      </c>
      <c r="C30" s="43" t="n">
        <f aca="false">IFERROR(Avanzado!C7*C26/C6,"n/d")</f>
        <v>2.30769230769231</v>
      </c>
      <c r="D30" s="21" t="s">
        <v>326</v>
      </c>
    </row>
    <row r="32" customFormat="false" ht="15" hidden="false" customHeight="true" outlineLevel="0" collapsed="false">
      <c r="A32" s="9" t="s">
        <v>327</v>
      </c>
      <c r="B32" s="10"/>
      <c r="C32" s="10"/>
      <c r="D32" s="10"/>
    </row>
    <row r="33" customFormat="false" ht="15" hidden="false" customHeight="true" outlineLevel="0" collapsed="false">
      <c r="A33" s="11" t="s">
        <v>328</v>
      </c>
      <c r="B33" s="40" t="n">
        <f aca="false">IFERROR((Datos!B33-Datos!B36)/Datos!B13,0)</f>
        <v>0.0358181818181818</v>
      </c>
      <c r="C33" s="40" t="n">
        <f aca="false">IFERROR((Datos!C33-Datos!C36)/Datos!C13,0)</f>
        <v>0.0197211155378486</v>
      </c>
      <c r="D33" s="21" t="s">
        <v>329</v>
      </c>
    </row>
    <row r="34" customFormat="false" ht="15" hidden="false" customHeight="true" outlineLevel="0" collapsed="false">
      <c r="A34" s="11" t="s">
        <v>330</v>
      </c>
      <c r="B34" s="43" t="n">
        <f aca="false">IFERROR(Datos!B38/Datos!B33,0)</f>
        <v>0.308764940239044</v>
      </c>
      <c r="C34" s="43" t="n">
        <f aca="false">IFERROR(Datos!C38/Datos!C33,0)</f>
        <v>0.37940379403794</v>
      </c>
      <c r="D34" s="21"/>
    </row>
    <row r="35" customFormat="false" ht="27.75" hidden="false" customHeight="true" outlineLevel="0" collapsed="false">
      <c r="A35" s="11" t="s">
        <v>331</v>
      </c>
      <c r="B35" s="40" t="n">
        <f aca="false">B7-Datos!B64</f>
        <v>-0.0175531914893617</v>
      </c>
      <c r="D35" s="21" t="s">
        <v>332</v>
      </c>
    </row>
    <row r="37" customFormat="false" ht="15" hidden="false" customHeight="true" outlineLevel="0" collapsed="false">
      <c r="A37" s="9" t="s">
        <v>333</v>
      </c>
      <c r="B37" s="10"/>
      <c r="C37" s="10"/>
      <c r="D37" s="10"/>
    </row>
    <row r="38" customFormat="false" ht="15" hidden="false" customHeight="true" outlineLevel="0" collapsed="false">
      <c r="A38" s="46" t="s">
        <v>39</v>
      </c>
      <c r="B38" s="46" t="s">
        <v>334</v>
      </c>
      <c r="C38" s="46" t="s">
        <v>335</v>
      </c>
      <c r="D38" s="46" t="s">
        <v>336</v>
      </c>
    </row>
    <row r="39" customFormat="false" ht="15" hidden="false" customHeight="true" outlineLevel="0" collapsed="false">
      <c r="A39" s="11" t="s">
        <v>220</v>
      </c>
      <c r="B39" s="39" t="n">
        <f aca="false">Avanzado!B7</f>
        <v>10183.7016574586</v>
      </c>
      <c r="C39" s="39" t="n">
        <f aca="false">Avanzado!B7*(1-Datos!B65)</f>
        <v>8656.14640883978</v>
      </c>
      <c r="D39" s="21" t="s">
        <v>337</v>
      </c>
    </row>
    <row r="40" customFormat="false" ht="15" hidden="false" customHeight="true" outlineLevel="0" collapsed="false">
      <c r="A40" s="15" t="s">
        <v>338</v>
      </c>
      <c r="B40" s="38" t="n">
        <f aca="false">(Datos!B24-Datos!B25-Datos!B26)*365/Datos!B40</f>
        <v>1939.94475138122</v>
      </c>
      <c r="C40" s="38" t="n">
        <f aca="false">C39*B26-Datos!B26*365/Datos!B40</f>
        <v>1410.59392265193</v>
      </c>
      <c r="D40" s="21" t="s">
        <v>339</v>
      </c>
    </row>
    <row r="41" customFormat="false" ht="15" hidden="false" customHeight="true" outlineLevel="0" collapsed="false">
      <c r="A41" s="11" t="s">
        <v>286</v>
      </c>
      <c r="B41" s="39" t="n">
        <f aca="false">B6</f>
        <v>1714.08839779006</v>
      </c>
      <c r="C41" s="39" t="n">
        <f aca="false">C40-Datos!B27*365/Datos!B40</f>
        <v>1184.73756906077</v>
      </c>
      <c r="D41" s="21"/>
    </row>
    <row r="42" customFormat="false" ht="15" hidden="false" customHeight="true" outlineLevel="0" collapsed="false">
      <c r="A42" s="11" t="s">
        <v>340</v>
      </c>
      <c r="B42" s="39" t="n">
        <f aca="false">Datos!B28*365/Datos!B40</f>
        <v>197.624309392265</v>
      </c>
      <c r="C42" s="39" t="n">
        <f aca="false">B42+Avanzado!B35*Datos!B66</f>
        <v>254.624309392265</v>
      </c>
      <c r="D42" s="21" t="s">
        <v>341</v>
      </c>
    </row>
    <row r="43" customFormat="false" ht="15" hidden="false" customHeight="true" outlineLevel="0" collapsed="false">
      <c r="A43" s="15" t="s">
        <v>342</v>
      </c>
      <c r="B43" s="45" t="n">
        <f aca="false">IFERROR(B41/B42,"n/d")</f>
        <v>8.6734693877551</v>
      </c>
      <c r="C43" s="45" t="n">
        <f aca="false">IFERROR(C41/C42,"n/d")</f>
        <v>4.65288476142947</v>
      </c>
      <c r="D43" s="21" t="s">
        <v>343</v>
      </c>
    </row>
    <row r="44" customFormat="false" ht="15" hidden="false" customHeight="true" outlineLevel="0" collapsed="false">
      <c r="A44" s="15" t="s">
        <v>344</v>
      </c>
      <c r="B44" s="45" t="n">
        <f aca="false">IFERROR(Avanzado!B36/B40,"n/d")</f>
        <v>0.76290832455216</v>
      </c>
      <c r="C44" s="45" t="n">
        <f aca="false">IF(C40&lt;=0,"n/d",Avanzado!B36/C40)</f>
        <v>1.04920344277223</v>
      </c>
      <c r="D44" s="21"/>
    </row>
    <row r="45" customFormat="false" ht="15" hidden="false" customHeight="true" outlineLevel="0" collapsed="false">
      <c r="A45" s="11" t="s">
        <v>345</v>
      </c>
      <c r="C45" s="39" t="n">
        <f aca="false">C39/365*Datos!B67</f>
        <v>355.732044198895</v>
      </c>
      <c r="D45" s="21" t="s">
        <v>346</v>
      </c>
    </row>
    <row r="46" customFormat="false" ht="15" hidden="false" customHeight="true" outlineLevel="0" collapsed="false">
      <c r="A46" s="15" t="s">
        <v>347</v>
      </c>
      <c r="B46" s="49" t="str">
        <f aca="false">IF(OR(Datos!B56="",NOT(ISNUMBER(B44))),"Sin dato",IF(B44&lt;=Datos!B56,"Cumple","INCUMPLE"))</f>
        <v>Cumple</v>
      </c>
      <c r="C46" s="49" t="str">
        <f aca="false">IF(OR(Datos!B56="",NOT(ISNUMBER(C44))),"Sin dato",IF(C44&lt;=Datos!B56,"Cumple","INCUMPLE"))</f>
        <v>Cumple</v>
      </c>
      <c r="D46" s="21" t="s">
        <v>348</v>
      </c>
    </row>
    <row r="48" customFormat="false" ht="15" hidden="false" customHeight="true" outlineLevel="0" collapsed="false">
      <c r="A48" s="31" t="s">
        <v>349</v>
      </c>
    </row>
  </sheetData>
  <mergeCells count="2">
    <mergeCell ref="A1:D1"/>
    <mergeCell ref="A2:D2"/>
  </mergeCells>
  <conditionalFormatting sqref="B5:C48">
    <cfRule type="expression" priority="2" aboveAverage="0" equalAverage="0" bottom="0" percent="0" rank="0" text="" dxfId="3">
      <formula>B5="INCUMPLE"</formula>
    </cfRule>
    <cfRule type="expression" priority="3" aboveAverage="0" equalAverage="0" bottom="0" percent="0" rank="0" text="" dxfId="2">
      <formula>B5="Cumple"</formula>
    </cfRule>
  </conditionalFormatting>
  <conditionalFormatting sqref="B5:B48">
    <cfRule type="expression" priority="4" aboveAverage="0" equalAverage="0" bottom="0" percent="0" rank="0" text="" dxfId="3">
      <formula>B5="Zona de riesgo"</formula>
    </cfRule>
    <cfRule type="expression" priority="5" aboveAverage="0" equalAverage="0" bottom="0" percent="0" rank="0" text="" dxfId="2">
      <formula>B5="Zona segura"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4"/>
    <col collapsed="false" customWidth="true" hidden="false" outlineLevel="0" max="5" min="5" style="1" width="28"/>
  </cols>
  <sheetData>
    <row r="1" customFormat="false" ht="33.75" hidden="false" customHeight="true" outlineLevel="0" collapsed="false">
      <c r="A1" s="2" t="s">
        <v>350</v>
      </c>
      <c r="B1" s="2"/>
      <c r="C1" s="2"/>
      <c r="D1" s="2"/>
      <c r="E1" s="2"/>
    </row>
    <row r="2" customFormat="false" ht="15" hidden="false" customHeight="true" outlineLevel="0" collapsed="false">
      <c r="A2" s="3" t="s">
        <v>351</v>
      </c>
      <c r="B2" s="3"/>
      <c r="C2" s="3"/>
      <c r="D2" s="3"/>
      <c r="E2" s="3"/>
    </row>
    <row r="3" customFormat="false" ht="15" hidden="false" customHeight="true" outlineLevel="0" collapsed="false">
      <c r="A3" s="31" t="s">
        <v>352</v>
      </c>
    </row>
    <row r="4" customFormat="false" ht="30" hidden="false" customHeight="true" outlineLevel="0" collapsed="false">
      <c r="A4" s="8" t="s">
        <v>39</v>
      </c>
      <c r="B4" s="50" t="n">
        <v>2023</v>
      </c>
      <c r="C4" s="50" t="n">
        <v>2024</v>
      </c>
      <c r="D4" s="50" t="n">
        <v>2025</v>
      </c>
      <c r="E4" s="8" t="s">
        <v>353</v>
      </c>
    </row>
    <row r="5" customFormat="false" ht="15" hidden="false" customHeight="true" outlineLevel="0" collapsed="false">
      <c r="A5" s="9" t="s">
        <v>354</v>
      </c>
      <c r="B5" s="10"/>
      <c r="C5" s="10"/>
      <c r="D5" s="10"/>
      <c r="E5" s="10"/>
    </row>
    <row r="6" customFormat="false" ht="15" hidden="false" customHeight="true" outlineLevel="0" collapsed="false">
      <c r="A6" s="11" t="s">
        <v>246</v>
      </c>
      <c r="B6" s="12" t="n">
        <v>8100</v>
      </c>
      <c r="C6" s="12" t="n">
        <v>8700</v>
      </c>
      <c r="D6" s="12" t="n">
        <v>9300</v>
      </c>
      <c r="E6" s="51" t="str">
        <f aca="false">IFERROR(IF(D6&gt;B6,"↑ ","↓ ")&amp;TEXT((D6/B6)^(1/(D$4-B$4))-1,"0.0%")&amp;" anual (CAGR)","")</f>
        <v>↑ 7.2% anual (CAGR)</v>
      </c>
    </row>
    <row r="7" customFormat="false" ht="15" hidden="false" customHeight="true" outlineLevel="0" collapsed="false">
      <c r="A7" s="11" t="s">
        <v>71</v>
      </c>
      <c r="B7" s="12" t="n">
        <v>2650</v>
      </c>
      <c r="C7" s="12" t="n">
        <v>2900</v>
      </c>
      <c r="D7" s="12" t="n">
        <v>3220</v>
      </c>
      <c r="E7" s="51" t="str">
        <f aca="false">IFERROR(IF(D7&gt;B7,"↑ ","↓ ")&amp;TEXT((D7/B7)^(1/(D$4-B$4))-1,"0.0%")&amp;" anual (CAGR)","")</f>
        <v>↑ 10.2% anual (CAGR)</v>
      </c>
    </row>
    <row r="8" customFormat="false" ht="15" hidden="false" customHeight="true" outlineLevel="0" collapsed="false">
      <c r="A8" s="11" t="s">
        <v>72</v>
      </c>
      <c r="B8" s="12" t="n">
        <v>1150</v>
      </c>
      <c r="C8" s="12" t="n">
        <v>1400</v>
      </c>
      <c r="D8" s="12" t="n">
        <v>1660</v>
      </c>
      <c r="E8" s="51" t="str">
        <f aca="false">IFERROR(IF(D8&gt;B8,"↑ ","↓ ")&amp;TEXT((D8/B8)^(1/(D$4-B$4))-1,"0.0%")&amp;" anual (CAGR)","")</f>
        <v>↑ 20.1% anual (CAGR)</v>
      </c>
    </row>
    <row r="9" customFormat="false" ht="15" hidden="false" customHeight="true" outlineLevel="0" collapsed="false">
      <c r="A9" s="11" t="s">
        <v>74</v>
      </c>
      <c r="B9" s="12" t="n">
        <v>520</v>
      </c>
      <c r="C9" s="12" t="n">
        <v>590</v>
      </c>
      <c r="D9" s="12" t="n">
        <v>660</v>
      </c>
      <c r="E9" s="51" t="str">
        <f aca="false">IFERROR(IF(D9&gt;B9,"↑ ","↓ ")&amp;TEXT((D9/B9)^(1/(D$4-B$4))-1,"0.0%")&amp;" anual (CAGR)","")</f>
        <v>↑ 12.7% anual (CAGR)</v>
      </c>
    </row>
    <row r="10" customFormat="false" ht="15" hidden="false" customHeight="true" outlineLevel="0" collapsed="false">
      <c r="A10" s="11" t="s">
        <v>76</v>
      </c>
      <c r="B10" s="12" t="n">
        <v>480</v>
      </c>
      <c r="C10" s="12" t="n">
        <v>520</v>
      </c>
      <c r="D10" s="12" t="n">
        <v>640</v>
      </c>
      <c r="E10" s="51" t="str">
        <f aca="false">IFERROR(IF(D10&gt;B10,"↑ ","↓ ")&amp;TEXT((D10/B10)^(1/(D$4-B$4))-1,"0.0%")&amp;" anual (CAGR)","")</f>
        <v>↑ 15.5% anual (CAGR)</v>
      </c>
    </row>
    <row r="11" customFormat="false" ht="15" hidden="false" customHeight="true" outlineLevel="0" collapsed="false">
      <c r="A11" s="11" t="s">
        <v>355</v>
      </c>
      <c r="B11" s="12" t="n">
        <v>310</v>
      </c>
      <c r="C11" s="12" t="n">
        <v>340</v>
      </c>
      <c r="D11" s="12" t="n">
        <v>380</v>
      </c>
      <c r="E11" s="51" t="str">
        <f aca="false">IFERROR(IF(D11&gt;B11,"↑ ","↓ ")&amp;TEXT((D11/B11)^(1/(D$4-B$4))-1,"0.0%")&amp;" anual (CAGR)","")</f>
        <v>↑ 10.7% anual (CAGR)</v>
      </c>
    </row>
    <row r="12" customFormat="false" ht="15" hidden="false" customHeight="true" outlineLevel="0" collapsed="false">
      <c r="A12" s="11" t="s">
        <v>356</v>
      </c>
      <c r="B12" s="12" t="n">
        <v>4600</v>
      </c>
      <c r="C12" s="12" t="n">
        <v>4800</v>
      </c>
      <c r="D12" s="12" t="n">
        <v>5020</v>
      </c>
      <c r="E12" s="51" t="str">
        <f aca="false">IFERROR(IF(D12&gt;B12,"↑ ","↓ ")&amp;TEXT((D12/B12)^(1/(D$4-B$4))-1,"0.0%")&amp;" anual (CAGR)","")</f>
        <v>↑ 4.5% anual (CAGR)</v>
      </c>
    </row>
    <row r="13" customFormat="false" ht="15" hidden="false" customHeight="true" outlineLevel="0" collapsed="false">
      <c r="A13" s="11" t="s">
        <v>357</v>
      </c>
      <c r="B13" s="12" t="n">
        <v>1900</v>
      </c>
      <c r="C13" s="12" t="n">
        <v>1950</v>
      </c>
      <c r="D13" s="12" t="n">
        <v>1900</v>
      </c>
      <c r="E13" s="51" t="str">
        <f aca="false">IFERROR(IF(D13&gt;B13,"↑ ","↓ ")&amp;TEXT((D13/B13)^(1/(D$4-B$4))-1,"0.0%")&amp;" anual (CAGR)","")</f>
        <v>↓ 0.0% anual (CAGR)</v>
      </c>
    </row>
    <row r="14" customFormat="false" ht="15" hidden="false" customHeight="true" outlineLevel="0" collapsed="false">
      <c r="A14" s="11" t="s">
        <v>59</v>
      </c>
      <c r="B14" s="12" t="n">
        <v>1700</v>
      </c>
      <c r="C14" s="12" t="n">
        <v>1850</v>
      </c>
      <c r="D14" s="12" t="n">
        <v>2070</v>
      </c>
      <c r="E14" s="51" t="str">
        <f aca="false">IFERROR(IF(D14&gt;B14,"↑ ","↓ ")&amp;TEXT((D14/B14)^(1/(D$4-B$4))-1,"0.0%")&amp;" anual (CAGR)","")</f>
        <v>↑ 10.3% anual (CAGR)</v>
      </c>
    </row>
    <row r="16" customFormat="false" ht="15" hidden="false" customHeight="true" outlineLevel="0" collapsed="false">
      <c r="A16" s="9" t="s">
        <v>358</v>
      </c>
      <c r="B16" s="10"/>
      <c r="C16" s="10"/>
      <c r="D16" s="10"/>
      <c r="E16" s="10"/>
    </row>
    <row r="17" customFormat="false" ht="15" hidden="false" customHeight="true" outlineLevel="0" collapsed="false">
      <c r="A17" s="11" t="s">
        <v>359</v>
      </c>
      <c r="C17" s="30" t="n">
        <f aca="false">IFERROR(C6/B6-1,0)</f>
        <v>0.0740740740740742</v>
      </c>
      <c r="D17" s="30" t="n">
        <f aca="false">IFERROR(D6/C6-1,0)</f>
        <v>0.0689655172413792</v>
      </c>
      <c r="E17" s="51" t="str">
        <f aca="false">IF(D17&gt;C17,"Mejora","Deterioro")&amp;" frente a "&amp;C$4</f>
        <v>Deterioro frente a 2024</v>
      </c>
    </row>
    <row r="18" customFormat="false" ht="15" hidden="false" customHeight="true" outlineLevel="0" collapsed="false">
      <c r="A18" s="11" t="s">
        <v>161</v>
      </c>
      <c r="B18" s="30" t="n">
        <f aca="false">IFERROR(B7/B6,0)</f>
        <v>0.327160493827161</v>
      </c>
      <c r="C18" s="30" t="n">
        <f aca="false">IFERROR(C7/C6,0)</f>
        <v>0.333333333333333</v>
      </c>
      <c r="D18" s="30" t="n">
        <f aca="false">IFERROR(D7/D6,0)</f>
        <v>0.346236559139785</v>
      </c>
      <c r="E18" s="51" t="str">
        <f aca="false">IFERROR(IF(D18&gt;B18,"Mejora","Deterioro")&amp;" frente a "&amp;B$4,"")</f>
        <v>Mejora frente a 2023</v>
      </c>
    </row>
    <row r="19" customFormat="false" ht="15" hidden="false" customHeight="true" outlineLevel="0" collapsed="false">
      <c r="A19" s="11" t="s">
        <v>164</v>
      </c>
      <c r="B19" s="30" t="n">
        <f aca="false">IFERROR(B8/B6,0)</f>
        <v>0.141975308641975</v>
      </c>
      <c r="C19" s="30" t="n">
        <f aca="false">IFERROR(C8/C6,0)</f>
        <v>0.160919540229885</v>
      </c>
      <c r="D19" s="30" t="n">
        <f aca="false">IFERROR(D8/D6,0)</f>
        <v>0.178494623655914</v>
      </c>
      <c r="E19" s="51" t="str">
        <f aca="false">IFERROR(IF(D19&gt;B19,"Mejora","Deterioro")&amp;" frente a "&amp;B$4,"")</f>
        <v>Mejora frente a 2023</v>
      </c>
    </row>
    <row r="20" customFormat="false" ht="15" hidden="false" customHeight="true" outlineLevel="0" collapsed="false">
      <c r="A20" s="11" t="s">
        <v>167</v>
      </c>
      <c r="B20" s="30" t="n">
        <f aca="false">IFERROR(B9/B6,0)</f>
        <v>0.0641975308641975</v>
      </c>
      <c r="C20" s="30" t="n">
        <f aca="false">IFERROR(C9/C6,0)</f>
        <v>0.067816091954023</v>
      </c>
      <c r="D20" s="30" t="n">
        <f aca="false">IFERROR(D9/D6,0)</f>
        <v>0.0709677419354839</v>
      </c>
      <c r="E20" s="51" t="str">
        <f aca="false">IFERROR(IF(D20&gt;B20,"Mejora","Deterioro")&amp;" frente a "&amp;B$4,"")</f>
        <v>Mejora frente a 2023</v>
      </c>
    </row>
    <row r="21" customFormat="false" ht="15" hidden="false" customHeight="true" outlineLevel="0" collapsed="false">
      <c r="A21" s="11" t="s">
        <v>360</v>
      </c>
      <c r="B21" s="22" t="n">
        <f aca="false">IFERROR(B10/B9,0)</f>
        <v>0.923076923076923</v>
      </c>
      <c r="C21" s="22" t="n">
        <f aca="false">IFERROR(C10/C9,0)</f>
        <v>0.88135593220339</v>
      </c>
      <c r="D21" s="22" t="n">
        <f aca="false">IFERROR(D10/D9,0)</f>
        <v>0.96969696969697</v>
      </c>
      <c r="E21" s="51" t="str">
        <f aca="false">IFERROR(IF(D21&gt;B21,"Mejora","Deterioro")&amp;" frente a "&amp;B$4,"")</f>
        <v>Mejora frente a 2023</v>
      </c>
    </row>
    <row r="22" customFormat="false" ht="15" hidden="false" customHeight="true" outlineLevel="0" collapsed="false">
      <c r="A22" s="11" t="s">
        <v>361</v>
      </c>
      <c r="B22" s="30" t="n">
        <f aca="false">IFERROR(B9/B14,0)</f>
        <v>0.305882352941177</v>
      </c>
      <c r="C22" s="30" t="n">
        <f aca="false">IFERROR(C9/C14,0)</f>
        <v>0.318918918918919</v>
      </c>
      <c r="D22" s="30" t="n">
        <f aca="false">IFERROR(D9/D14,0)</f>
        <v>0.318840579710145</v>
      </c>
      <c r="E22" s="51" t="str">
        <f aca="false">IFERROR(IF(D22&gt;B22,"Mejora","Deterioro")&amp;" frente a "&amp;B$4,"")</f>
        <v>Mejora frente a 2023</v>
      </c>
    </row>
    <row r="23" customFormat="false" ht="15" hidden="false" customHeight="true" outlineLevel="0" collapsed="false">
      <c r="A23" s="11" t="s">
        <v>344</v>
      </c>
      <c r="B23" s="22" t="n">
        <f aca="false">IFERROR((B13-B11)/B8,0)</f>
        <v>1.38260869565217</v>
      </c>
      <c r="C23" s="22" t="n">
        <f aca="false">IFERROR((C13-C11)/C8,0)</f>
        <v>1.15</v>
      </c>
      <c r="D23" s="22" t="n">
        <f aca="false">IFERROR((D13-D11)/D8,0)</f>
        <v>0.91566265060241</v>
      </c>
      <c r="E23" s="51" t="str">
        <f aca="false">IFERROR(IF(D23&lt;B23,"Mejora","Deterioro")&amp;" frente a "&amp;B$4,"")</f>
        <v>Mejora frente a 2023</v>
      </c>
    </row>
    <row r="25" customFormat="false" ht="15" hidden="false" customHeight="true" outlineLevel="0" collapsed="false">
      <c r="A25" s="31" t="s">
        <v>362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4"/>
    <col collapsed="false" customWidth="true" hidden="false" outlineLevel="0" max="3" min="3" style="1" width="78"/>
    <col collapsed="false" customWidth="true" hidden="false" outlineLevel="0" max="4" min="4" style="1" width="38"/>
  </cols>
  <sheetData>
    <row r="1" customFormat="false" ht="33.75" hidden="false" customHeight="true" outlineLevel="0" collapsed="false">
      <c r="A1" s="2" t="s">
        <v>363</v>
      </c>
      <c r="B1" s="2"/>
      <c r="C1" s="2"/>
      <c r="D1" s="2"/>
    </row>
    <row r="2" customFormat="false" ht="15" hidden="false" customHeight="true" outlineLevel="0" collapsed="false">
      <c r="A2" s="3" t="s">
        <v>364</v>
      </c>
      <c r="B2" s="3"/>
      <c r="C2" s="3"/>
      <c r="D2" s="3"/>
    </row>
    <row r="4" customFormat="false" ht="30" hidden="false" customHeight="true" outlineLevel="0" collapsed="false">
      <c r="A4" s="8" t="s">
        <v>365</v>
      </c>
      <c r="B4" s="8" t="s">
        <v>366</v>
      </c>
      <c r="C4" s="8" t="s">
        <v>367</v>
      </c>
      <c r="D4" s="8" t="s">
        <v>368</v>
      </c>
    </row>
    <row r="5" customFormat="false" ht="61.5" hidden="false" customHeight="true" outlineLevel="0" collapsed="false">
      <c r="A5" s="52" t="s">
        <v>369</v>
      </c>
      <c r="B5" s="53" t="s">
        <v>370</v>
      </c>
      <c r="C5" s="53" t="s">
        <v>371</v>
      </c>
      <c r="D5" s="53" t="s">
        <v>372</v>
      </c>
    </row>
    <row r="6" customFormat="false" ht="61.5" hidden="false" customHeight="true" outlineLevel="0" collapsed="false">
      <c r="A6" s="52" t="s">
        <v>373</v>
      </c>
      <c r="B6" s="53" t="s">
        <v>374</v>
      </c>
      <c r="C6" s="53" t="s">
        <v>375</v>
      </c>
      <c r="D6" s="53" t="s">
        <v>376</v>
      </c>
    </row>
    <row r="7" customFormat="false" ht="61.5" hidden="false" customHeight="true" outlineLevel="0" collapsed="false">
      <c r="A7" s="52" t="s">
        <v>24</v>
      </c>
      <c r="B7" s="53" t="s">
        <v>377</v>
      </c>
      <c r="C7" s="53" t="s">
        <v>378</v>
      </c>
      <c r="D7" s="53" t="s">
        <v>379</v>
      </c>
    </row>
    <row r="8" customFormat="false" ht="61.5" hidden="false" customHeight="true" outlineLevel="0" collapsed="false">
      <c r="A8" s="52" t="s">
        <v>26</v>
      </c>
      <c r="B8" s="53" t="s">
        <v>380</v>
      </c>
      <c r="C8" s="53" t="s">
        <v>381</v>
      </c>
      <c r="D8" s="53" t="s">
        <v>382</v>
      </c>
    </row>
    <row r="9" customFormat="false" ht="61.5" hidden="false" customHeight="true" outlineLevel="0" collapsed="false">
      <c r="A9" s="52" t="s">
        <v>383</v>
      </c>
      <c r="B9" s="53" t="s">
        <v>384</v>
      </c>
      <c r="C9" s="53" t="s">
        <v>385</v>
      </c>
      <c r="D9" s="53" t="s">
        <v>386</v>
      </c>
    </row>
    <row r="10" customFormat="false" ht="61.5" hidden="false" customHeight="true" outlineLevel="0" collapsed="false">
      <c r="A10" s="52" t="s">
        <v>387</v>
      </c>
      <c r="B10" s="53" t="s">
        <v>388</v>
      </c>
      <c r="C10" s="53" t="s">
        <v>389</v>
      </c>
      <c r="D10" s="53" t="s">
        <v>390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6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9"/>
  </cols>
  <sheetData>
    <row r="1" customFormat="false" ht="17.35" hidden="false" customHeight="false" outlineLevel="0" collapsed="false">
      <c r="A1" s="54" t="s">
        <v>391</v>
      </c>
      <c r="B1" s="55"/>
      <c r="C1" s="55"/>
      <c r="D1" s="55"/>
      <c r="E1" s="55"/>
      <c r="F1" s="55"/>
      <c r="G1" s="55"/>
    </row>
    <row r="2" customFormat="false" ht="15" hidden="false" customHeight="false" outlineLevel="0" collapsed="false">
      <c r="A2" s="55"/>
      <c r="B2" s="55"/>
      <c r="C2" s="55"/>
      <c r="D2" s="55"/>
      <c r="E2" s="55"/>
      <c r="F2" s="55"/>
      <c r="G2" s="55"/>
    </row>
    <row r="3" customFormat="false" ht="15" hidden="false" customHeight="false" outlineLevel="0" collapsed="false">
      <c r="A3" s="56" t="s">
        <v>392</v>
      </c>
      <c r="B3" s="57"/>
      <c r="C3" s="57"/>
      <c r="D3" s="57"/>
      <c r="E3" s="57"/>
      <c r="F3" s="57"/>
      <c r="G3" s="57"/>
    </row>
    <row r="4" customFormat="false" ht="15" hidden="false" customHeight="false" outlineLevel="0" collapsed="false">
      <c r="A4" s="58" t="s">
        <v>393</v>
      </c>
      <c r="B4" s="55"/>
      <c r="C4" s="55"/>
      <c r="D4" s="55"/>
      <c r="E4" s="55"/>
      <c r="F4" s="55"/>
      <c r="G4" s="55"/>
    </row>
    <row r="5" customFormat="false" ht="15" hidden="false" customHeight="false" outlineLevel="0" collapsed="false">
      <c r="A5" s="58" t="s">
        <v>394</v>
      </c>
      <c r="B5" s="55"/>
      <c r="C5" s="55"/>
      <c r="D5" s="55"/>
      <c r="E5" s="55"/>
      <c r="F5" s="55"/>
      <c r="G5" s="55"/>
    </row>
    <row r="6" customFormat="false" ht="15" hidden="false" customHeight="false" outlineLevel="0" collapsed="false">
      <c r="A6" s="55"/>
      <c r="B6" s="55"/>
      <c r="C6" s="55"/>
      <c r="D6" s="55"/>
      <c r="E6" s="55"/>
      <c r="F6" s="55"/>
      <c r="G6" s="55"/>
    </row>
    <row r="7" customFormat="false" ht="15" hidden="false" customHeight="false" outlineLevel="0" collapsed="false">
      <c r="A7" s="56" t="s">
        <v>395</v>
      </c>
      <c r="B7" s="57"/>
      <c r="C7" s="57"/>
      <c r="D7" s="57"/>
      <c r="E7" s="57"/>
      <c r="F7" s="57"/>
      <c r="G7" s="57"/>
    </row>
    <row r="8" customFormat="false" ht="15" hidden="false" customHeight="false" outlineLevel="0" collapsed="false">
      <c r="A8" s="59" t="s">
        <v>396</v>
      </c>
      <c r="B8" s="59" t="s">
        <v>397</v>
      </c>
      <c r="C8" s="59" t="s">
        <v>398</v>
      </c>
      <c r="D8" s="59" t="s">
        <v>133</v>
      </c>
      <c r="E8" s="55"/>
      <c r="F8" s="55"/>
      <c r="G8" s="55"/>
    </row>
    <row r="9" customFormat="false" ht="15" hidden="false" customHeight="false" outlineLevel="0" collapsed="false">
      <c r="A9" s="55" t="s">
        <v>399</v>
      </c>
      <c r="B9" s="55" t="n">
        <v>5500</v>
      </c>
      <c r="C9" s="55" t="n">
        <v>5500</v>
      </c>
      <c r="D9" s="60" t="s">
        <v>400</v>
      </c>
      <c r="E9" s="55"/>
      <c r="F9" s="55"/>
      <c r="G9" s="55"/>
    </row>
    <row r="10" customFormat="false" ht="15" hidden="false" customHeight="false" outlineLevel="0" collapsed="false">
      <c r="A10" s="55" t="s">
        <v>401</v>
      </c>
      <c r="B10" s="55" t="n">
        <v>5500</v>
      </c>
      <c r="C10" s="55" t="n">
        <v>5500</v>
      </c>
      <c r="D10" s="60" t="s">
        <v>400</v>
      </c>
      <c r="E10" s="55"/>
      <c r="F10" s="55"/>
      <c r="G10" s="55"/>
    </row>
    <row r="11" customFormat="false" ht="15" hidden="false" customHeight="false" outlineLevel="0" collapsed="false">
      <c r="A11" s="55" t="s">
        <v>402</v>
      </c>
      <c r="B11" s="55" t="n">
        <v>1750</v>
      </c>
      <c r="C11" s="55" t="n">
        <v>1750</v>
      </c>
      <c r="D11" s="60" t="s">
        <v>400</v>
      </c>
      <c r="E11" s="55"/>
      <c r="F11" s="55"/>
      <c r="G11" s="55"/>
    </row>
    <row r="12" customFormat="false" ht="15" hidden="false" customHeight="false" outlineLevel="0" collapsed="false">
      <c r="A12" s="55" t="s">
        <v>403</v>
      </c>
      <c r="B12" s="55" t="n">
        <v>502</v>
      </c>
      <c r="C12" s="55" t="n">
        <v>502</v>
      </c>
      <c r="D12" s="60" t="s">
        <v>400</v>
      </c>
      <c r="E12" s="55"/>
      <c r="F12" s="55"/>
      <c r="G12" s="55"/>
    </row>
    <row r="13" customFormat="false" ht="15" hidden="false" customHeight="false" outlineLevel="0" collapsed="false">
      <c r="A13" s="55" t="s">
        <v>404</v>
      </c>
      <c r="B13" s="55" t="n">
        <v>5020</v>
      </c>
      <c r="C13" s="55" t="n">
        <v>5020</v>
      </c>
      <c r="D13" s="60" t="s">
        <v>400</v>
      </c>
      <c r="E13" s="55"/>
      <c r="F13" s="55"/>
      <c r="G13" s="55"/>
    </row>
    <row r="14" customFormat="false" ht="15" hidden="false" customHeight="false" outlineLevel="0" collapsed="false">
      <c r="A14" s="55" t="s">
        <v>405</v>
      </c>
      <c r="B14" s="55" t="n">
        <v>5020</v>
      </c>
      <c r="C14" s="55" t="n">
        <v>5020</v>
      </c>
      <c r="D14" s="60" t="s">
        <v>400</v>
      </c>
      <c r="E14" s="55"/>
      <c r="F14" s="55"/>
      <c r="G14" s="55"/>
    </row>
    <row r="15" customFormat="false" ht="15" hidden="false" customHeight="false" outlineLevel="0" collapsed="false">
      <c r="A15" s="55" t="s">
        <v>406</v>
      </c>
      <c r="B15" s="55" t="n">
        <v>1500</v>
      </c>
      <c r="C15" s="55" t="n">
        <v>1500</v>
      </c>
      <c r="D15" s="60" t="s">
        <v>400</v>
      </c>
      <c r="E15" s="55"/>
      <c r="F15" s="55"/>
      <c r="G15" s="55"/>
    </row>
    <row r="16" customFormat="false" ht="15" hidden="false" customHeight="false" outlineLevel="0" collapsed="false">
      <c r="A16" s="55" t="s">
        <v>407</v>
      </c>
      <c r="B16" s="55" t="n">
        <v>369</v>
      </c>
      <c r="C16" s="55" t="n">
        <v>369</v>
      </c>
      <c r="D16" s="60" t="s">
        <v>400</v>
      </c>
      <c r="E16" s="55"/>
      <c r="F16" s="55"/>
      <c r="G16" s="55"/>
    </row>
    <row r="17" customFormat="false" ht="15" hidden="false" customHeight="false" outlineLevel="0" collapsed="false">
      <c r="A17" s="55"/>
      <c r="B17" s="55"/>
      <c r="C17" s="55"/>
      <c r="D17" s="55"/>
      <c r="E17" s="55"/>
      <c r="F17" s="55"/>
      <c r="G17" s="55"/>
    </row>
    <row r="18" customFormat="false" ht="15" hidden="false" customHeight="false" outlineLevel="0" collapsed="false">
      <c r="A18" s="56" t="s">
        <v>408</v>
      </c>
      <c r="B18" s="57"/>
      <c r="C18" s="57"/>
      <c r="D18" s="57"/>
      <c r="E18" s="57"/>
      <c r="F18" s="57"/>
      <c r="G18" s="57"/>
    </row>
    <row r="19" customFormat="false" ht="15" hidden="false" customHeight="false" outlineLevel="0" collapsed="false">
      <c r="A19" s="59" t="s">
        <v>409</v>
      </c>
      <c r="B19" s="59" t="s">
        <v>127</v>
      </c>
      <c r="C19" s="59" t="s">
        <v>128</v>
      </c>
      <c r="D19" s="59" t="s">
        <v>410</v>
      </c>
      <c r="E19" s="55"/>
      <c r="F19" s="55"/>
      <c r="G19" s="55"/>
    </row>
    <row r="20" customFormat="false" ht="15" hidden="false" customHeight="false" outlineLevel="0" collapsed="false">
      <c r="A20" s="55" t="s">
        <v>44</v>
      </c>
      <c r="B20" s="55" t="n">
        <v>420</v>
      </c>
      <c r="C20" s="55" t="n">
        <v>380</v>
      </c>
      <c r="D20" s="55" t="s">
        <v>411</v>
      </c>
      <c r="E20" s="55"/>
      <c r="F20" s="55"/>
      <c r="G20" s="55"/>
    </row>
    <row r="21" customFormat="false" ht="15" hidden="false" customHeight="false" outlineLevel="0" collapsed="false">
      <c r="A21" s="55" t="s">
        <v>45</v>
      </c>
      <c r="B21" s="55" t="n">
        <v>980</v>
      </c>
      <c r="C21" s="55" t="n">
        <v>860</v>
      </c>
      <c r="D21" s="55" t="s">
        <v>411</v>
      </c>
      <c r="E21" s="55"/>
      <c r="F21" s="55"/>
      <c r="G21" s="55"/>
    </row>
    <row r="22" customFormat="false" ht="15" hidden="false" customHeight="false" outlineLevel="0" collapsed="false">
      <c r="A22" s="55" t="s">
        <v>26</v>
      </c>
      <c r="B22" s="55" t="n">
        <v>1350</v>
      </c>
      <c r="C22" s="55" t="n">
        <v>1150</v>
      </c>
      <c r="D22" s="55" t="s">
        <v>411</v>
      </c>
      <c r="E22" s="55"/>
      <c r="F22" s="55"/>
      <c r="G22" s="55"/>
    </row>
    <row r="23" customFormat="false" ht="15" hidden="false" customHeight="false" outlineLevel="0" collapsed="false">
      <c r="A23" s="55" t="s">
        <v>46</v>
      </c>
      <c r="B23" s="55" t="n">
        <v>150</v>
      </c>
      <c r="C23" s="55" t="n">
        <v>130</v>
      </c>
      <c r="D23" s="55" t="s">
        <v>412</v>
      </c>
      <c r="E23" s="55"/>
      <c r="F23" s="55"/>
      <c r="G23" s="55"/>
    </row>
    <row r="24" customFormat="false" ht="15" hidden="false" customHeight="false" outlineLevel="0" collapsed="false">
      <c r="A24" s="55" t="s">
        <v>48</v>
      </c>
      <c r="B24" s="55" t="n">
        <v>2600</v>
      </c>
      <c r="C24" s="55" t="n">
        <v>2500</v>
      </c>
      <c r="D24" s="55" t="s">
        <v>413</v>
      </c>
      <c r="E24" s="55"/>
      <c r="F24" s="55"/>
      <c r="G24" s="55"/>
    </row>
    <row r="25" customFormat="false" ht="15" hidden="false" customHeight="false" outlineLevel="0" collapsed="false">
      <c r="A25" s="55" t="s">
        <v>51</v>
      </c>
      <c r="B25" s="55" t="n">
        <v>700</v>
      </c>
      <c r="C25" s="55" t="n">
        <v>650</v>
      </c>
      <c r="D25" s="55" t="s">
        <v>411</v>
      </c>
      <c r="E25" s="55"/>
      <c r="F25" s="55"/>
      <c r="G25" s="55"/>
    </row>
    <row r="26" customFormat="false" ht="15" hidden="false" customHeight="false" outlineLevel="0" collapsed="false">
      <c r="A26" s="55" t="s">
        <v>53</v>
      </c>
      <c r="B26" s="55" t="n">
        <v>900</v>
      </c>
      <c r="C26" s="55" t="n">
        <v>780</v>
      </c>
      <c r="D26" s="55" t="s">
        <v>411</v>
      </c>
      <c r="E26" s="55"/>
      <c r="F26" s="55"/>
      <c r="G26" s="55"/>
    </row>
    <row r="27" customFormat="false" ht="15" hidden="false" customHeight="false" outlineLevel="0" collapsed="false">
      <c r="A27" s="55" t="s">
        <v>54</v>
      </c>
      <c r="B27" s="55" t="n">
        <v>300</v>
      </c>
      <c r="C27" s="55" t="n">
        <v>270</v>
      </c>
      <c r="D27" s="55" t="s">
        <v>414</v>
      </c>
      <c r="E27" s="55"/>
      <c r="F27" s="55"/>
      <c r="G27" s="55"/>
    </row>
    <row r="28" customFormat="false" ht="15" hidden="false" customHeight="false" outlineLevel="0" collapsed="false">
      <c r="A28" s="55" t="s">
        <v>57</v>
      </c>
      <c r="B28" s="55" t="n">
        <v>1200</v>
      </c>
      <c r="C28" s="55" t="n">
        <v>1250</v>
      </c>
      <c r="D28" s="55" t="s">
        <v>415</v>
      </c>
      <c r="E28" s="55"/>
      <c r="F28" s="55"/>
      <c r="G28" s="55"/>
    </row>
    <row r="29" customFormat="false" ht="15" hidden="false" customHeight="false" outlineLevel="0" collapsed="false">
      <c r="A29" s="55" t="s">
        <v>59</v>
      </c>
      <c r="B29" s="55" t="n">
        <v>2400</v>
      </c>
      <c r="C29" s="55" t="n">
        <v>2070</v>
      </c>
      <c r="D29" s="55" t="s">
        <v>411</v>
      </c>
      <c r="E29" s="55"/>
      <c r="F29" s="55"/>
      <c r="G29" s="55"/>
    </row>
    <row r="30" customFormat="false" ht="15" hidden="false" customHeight="false" outlineLevel="0" collapsed="false">
      <c r="A30" s="55" t="s">
        <v>63</v>
      </c>
      <c r="B30" s="55" t="n">
        <v>5050</v>
      </c>
      <c r="C30" s="55" t="n">
        <v>4450</v>
      </c>
      <c r="D30" s="55" t="s">
        <v>411</v>
      </c>
      <c r="E30" s="55"/>
      <c r="F30" s="55"/>
      <c r="G30" s="55"/>
    </row>
    <row r="31" customFormat="false" ht="15" hidden="false" customHeight="false" outlineLevel="0" collapsed="false">
      <c r="A31" s="55" t="s">
        <v>64</v>
      </c>
      <c r="B31" s="55" t="n">
        <v>3300</v>
      </c>
      <c r="C31" s="55" t="n">
        <v>2950</v>
      </c>
      <c r="D31" s="55" t="s">
        <v>411</v>
      </c>
      <c r="E31" s="55"/>
      <c r="F31" s="55"/>
      <c r="G31" s="55"/>
    </row>
    <row r="32" customFormat="false" ht="15" hidden="false" customHeight="false" outlineLevel="0" collapsed="false">
      <c r="A32" s="55" t="s">
        <v>65</v>
      </c>
      <c r="B32" s="55" t="n">
        <v>788</v>
      </c>
      <c r="C32" s="55" t="n">
        <v>745</v>
      </c>
      <c r="D32" s="55" t="s">
        <v>416</v>
      </c>
      <c r="E32" s="55"/>
      <c r="F32" s="55"/>
      <c r="G32" s="55"/>
    </row>
    <row r="33" customFormat="false" ht="15" hidden="false" customHeight="false" outlineLevel="0" collapsed="false">
      <c r="A33" s="55" t="s">
        <v>67</v>
      </c>
      <c r="B33" s="55" t="n">
        <v>112</v>
      </c>
      <c r="C33" s="55" t="n">
        <v>105</v>
      </c>
      <c r="D33" s="55" t="s">
        <v>411</v>
      </c>
      <c r="E33" s="55"/>
      <c r="F33" s="55"/>
      <c r="G33" s="55"/>
    </row>
    <row r="34" customFormat="false" ht="15" hidden="false" customHeight="false" outlineLevel="0" collapsed="false">
      <c r="A34" s="55" t="s">
        <v>68</v>
      </c>
      <c r="B34" s="55" t="n">
        <v>98</v>
      </c>
      <c r="C34" s="55" t="n">
        <v>91</v>
      </c>
      <c r="D34" s="55" t="s">
        <v>411</v>
      </c>
      <c r="E34" s="55"/>
      <c r="F34" s="55"/>
      <c r="G34" s="55"/>
    </row>
    <row r="35" customFormat="false" ht="15" hidden="false" customHeight="false" outlineLevel="0" collapsed="false">
      <c r="A35" s="55" t="s">
        <v>70</v>
      </c>
      <c r="B35" s="55" t="n">
        <v>250</v>
      </c>
      <c r="C35" s="55" t="n">
        <v>190</v>
      </c>
      <c r="D35" s="55" t="s">
        <v>411</v>
      </c>
      <c r="E35" s="55"/>
      <c r="F35" s="55"/>
      <c r="G35" s="55"/>
    </row>
    <row r="36" customFormat="false" ht="15" hidden="false" customHeight="false" outlineLevel="0" collapsed="false">
      <c r="A36" s="55" t="s">
        <v>76</v>
      </c>
      <c r="B36" s="55" t="n">
        <v>305</v>
      </c>
      <c r="C36" s="55" t="n">
        <v>270</v>
      </c>
      <c r="D36" s="55" t="s">
        <v>411</v>
      </c>
      <c r="E36" s="55"/>
      <c r="F36" s="55"/>
      <c r="G36" s="55"/>
    </row>
    <row r="37" customFormat="false" ht="15" hidden="false" customHeight="false" outlineLevel="0" collapsed="false">
      <c r="A37" s="55" t="s">
        <v>78</v>
      </c>
      <c r="B37" s="55" t="n">
        <v>150</v>
      </c>
      <c r="C37" s="55" t="n">
        <v>130</v>
      </c>
      <c r="D37" s="55" t="s">
        <v>411</v>
      </c>
      <c r="E37" s="55"/>
      <c r="F37" s="55"/>
      <c r="G37" s="55"/>
    </row>
    <row r="38" customFormat="false" ht="15" hidden="false" customHeight="false" outlineLevel="0" collapsed="false">
      <c r="A38" s="55" t="s">
        <v>80</v>
      </c>
      <c r="B38" s="55" t="n">
        <v>213</v>
      </c>
      <c r="C38" s="55" t="n">
        <v>201</v>
      </c>
      <c r="D38" s="55" t="s">
        <v>417</v>
      </c>
      <c r="E38" s="55"/>
      <c r="F38" s="55"/>
      <c r="G38" s="55"/>
    </row>
    <row r="39" customFormat="false" ht="15" hidden="false" customHeight="false" outlineLevel="0" collapsed="false">
      <c r="A39" s="55" t="s">
        <v>82</v>
      </c>
      <c r="B39" s="55" t="n">
        <v>181</v>
      </c>
      <c r="C39" s="55" t="n">
        <v>181</v>
      </c>
      <c r="D39" s="55" t="s">
        <v>418</v>
      </c>
      <c r="E39" s="55"/>
      <c r="F39" s="55"/>
      <c r="G39" s="55"/>
    </row>
    <row r="40" customFormat="false" ht="15" hidden="false" customHeight="false" outlineLevel="0" collapsed="false">
      <c r="A40" s="55" t="s">
        <v>85</v>
      </c>
      <c r="B40" s="55" t="n">
        <v>1200</v>
      </c>
      <c r="C40" s="55" t="n">
        <v>1250</v>
      </c>
      <c r="D40" s="55" t="s">
        <v>419</v>
      </c>
      <c r="E40" s="55"/>
      <c r="F40" s="55"/>
      <c r="G40" s="55"/>
    </row>
    <row r="41" customFormat="false" ht="15" hidden="false" customHeight="false" outlineLevel="0" collapsed="false">
      <c r="A41" s="55" t="s">
        <v>111</v>
      </c>
      <c r="B41" s="55" t="n">
        <v>800</v>
      </c>
      <c r="C41" s="55" t="n">
        <v>800</v>
      </c>
      <c r="D41" s="55" t="s">
        <v>420</v>
      </c>
      <c r="E41" s="55"/>
      <c r="F41" s="55"/>
      <c r="G41" s="55"/>
    </row>
    <row r="42" customFormat="false" ht="15" hidden="false" customHeight="false" outlineLevel="0" collapsed="false">
      <c r="A42" s="55"/>
      <c r="B42" s="55"/>
      <c r="C42" s="55"/>
      <c r="D42" s="55"/>
      <c r="E42" s="55"/>
      <c r="F42" s="55"/>
      <c r="G42" s="55"/>
    </row>
    <row r="43" customFormat="false" ht="15" hidden="false" customHeight="false" outlineLevel="0" collapsed="false">
      <c r="A43" s="56" t="s">
        <v>421</v>
      </c>
      <c r="B43" s="57"/>
      <c r="C43" s="57"/>
      <c r="D43" s="57"/>
      <c r="E43" s="57"/>
      <c r="F43" s="57"/>
      <c r="G43" s="57"/>
    </row>
    <row r="44" customFormat="false" ht="15" hidden="false" customHeight="false" outlineLevel="0" collapsed="false">
      <c r="A44" s="59" t="s">
        <v>409</v>
      </c>
      <c r="B44" s="59" t="s">
        <v>422</v>
      </c>
      <c r="C44" s="59"/>
      <c r="D44" s="59" t="s">
        <v>423</v>
      </c>
      <c r="E44" s="55"/>
      <c r="F44" s="55"/>
      <c r="G44" s="55"/>
    </row>
    <row r="45" customFormat="false" ht="15" hidden="false" customHeight="false" outlineLevel="0" collapsed="false">
      <c r="A45" s="55" t="s">
        <v>92</v>
      </c>
      <c r="B45" s="55" t="n">
        <v>47</v>
      </c>
      <c r="C45" s="55"/>
      <c r="D45" s="55" t="s">
        <v>424</v>
      </c>
      <c r="E45" s="55"/>
      <c r="F45" s="55"/>
      <c r="G45" s="55"/>
    </row>
    <row r="46" customFormat="false" ht="15" hidden="false" customHeight="false" outlineLevel="0" collapsed="false">
      <c r="A46" s="55" t="s">
        <v>94</v>
      </c>
      <c r="B46" s="55" t="n">
        <v>48</v>
      </c>
      <c r="C46" s="55"/>
      <c r="D46" s="55" t="s">
        <v>424</v>
      </c>
      <c r="E46" s="55"/>
      <c r="F46" s="55"/>
      <c r="G46" s="55"/>
    </row>
    <row r="47" customFormat="false" ht="15" hidden="false" customHeight="false" outlineLevel="0" collapsed="false">
      <c r="A47" s="55" t="s">
        <v>95</v>
      </c>
      <c r="B47" s="55" t="n">
        <v>49</v>
      </c>
      <c r="C47" s="55"/>
      <c r="D47" s="55" t="s">
        <v>424</v>
      </c>
      <c r="E47" s="55"/>
      <c r="F47" s="55"/>
      <c r="G47" s="55"/>
    </row>
    <row r="48" customFormat="false" ht="15" hidden="false" customHeight="false" outlineLevel="0" collapsed="false">
      <c r="A48" s="55" t="s">
        <v>425</v>
      </c>
      <c r="B48" s="55" t="n">
        <v>50</v>
      </c>
      <c r="C48" s="55"/>
      <c r="D48" s="55" t="s">
        <v>424</v>
      </c>
      <c r="E48" s="55"/>
      <c r="F48" s="55"/>
      <c r="G48" s="55"/>
    </row>
    <row r="49" customFormat="false" ht="15" hidden="false" customHeight="false" outlineLevel="0" collapsed="false">
      <c r="A49" s="55" t="s">
        <v>97</v>
      </c>
      <c r="B49" s="55" t="n">
        <v>51</v>
      </c>
      <c r="C49" s="55"/>
      <c r="D49" s="55" t="s">
        <v>424</v>
      </c>
      <c r="E49" s="55"/>
      <c r="F49" s="55"/>
      <c r="G49" s="55"/>
    </row>
    <row r="50" customFormat="false" ht="15" hidden="false" customHeight="false" outlineLevel="0" collapsed="false">
      <c r="A50" s="55" t="s">
        <v>98</v>
      </c>
      <c r="B50" s="55" t="n">
        <v>52</v>
      </c>
      <c r="C50" s="55"/>
      <c r="D50" s="55" t="s">
        <v>424</v>
      </c>
      <c r="E50" s="55"/>
      <c r="F50" s="55"/>
      <c r="G50" s="55"/>
    </row>
    <row r="51" customFormat="false" ht="15" hidden="false" customHeight="false" outlineLevel="0" collapsed="false">
      <c r="A51" s="55" t="s">
        <v>100</v>
      </c>
      <c r="B51" s="55" t="n">
        <v>54</v>
      </c>
      <c r="C51" s="55"/>
      <c r="D51" s="55" t="s">
        <v>426</v>
      </c>
      <c r="E51" s="55"/>
      <c r="F51" s="55"/>
      <c r="G51" s="55"/>
    </row>
    <row r="52" customFormat="false" ht="15" hidden="false" customHeight="false" outlineLevel="0" collapsed="false">
      <c r="A52" s="55" t="s">
        <v>102</v>
      </c>
      <c r="B52" s="55" t="n">
        <v>55</v>
      </c>
      <c r="C52" s="55"/>
      <c r="D52" s="55" t="s">
        <v>427</v>
      </c>
      <c r="E52" s="55"/>
      <c r="F52" s="55"/>
      <c r="G52" s="55"/>
    </row>
    <row r="53" customFormat="false" ht="15" hidden="false" customHeight="false" outlineLevel="0" collapsed="false">
      <c r="A53" s="55" t="s">
        <v>104</v>
      </c>
      <c r="B53" s="55" t="n">
        <v>56</v>
      </c>
      <c r="C53" s="55"/>
      <c r="D53" s="55" t="s">
        <v>427</v>
      </c>
      <c r="E53" s="55"/>
      <c r="F53" s="55"/>
      <c r="G53" s="55"/>
    </row>
    <row r="54" customFormat="false" ht="15" hidden="false" customHeight="false" outlineLevel="0" collapsed="false">
      <c r="A54" s="55" t="s">
        <v>428</v>
      </c>
      <c r="B54" s="55" t="n">
        <v>57</v>
      </c>
      <c r="C54" s="55"/>
      <c r="D54" s="55" t="s">
        <v>429</v>
      </c>
      <c r="E54" s="55"/>
      <c r="F54" s="55"/>
      <c r="G54" s="55"/>
    </row>
    <row r="55" customFormat="false" ht="15" hidden="false" customHeight="false" outlineLevel="0" collapsed="false">
      <c r="A55" s="55" t="s">
        <v>107</v>
      </c>
      <c r="B55" s="55" t="n">
        <v>58</v>
      </c>
      <c r="C55" s="55"/>
      <c r="D55" s="55" t="s">
        <v>429</v>
      </c>
      <c r="E55" s="55"/>
      <c r="F55" s="55"/>
      <c r="G55" s="55"/>
    </row>
    <row r="56" customFormat="false" ht="15" hidden="false" customHeight="false" outlineLevel="0" collapsed="false">
      <c r="A56" s="55" t="s">
        <v>108</v>
      </c>
      <c r="B56" s="55" t="n">
        <v>59</v>
      </c>
      <c r="C56" s="55"/>
      <c r="D56" s="55" t="s">
        <v>429</v>
      </c>
      <c r="E56" s="55"/>
      <c r="F56" s="55"/>
      <c r="G56" s="55"/>
    </row>
    <row r="57" customFormat="false" ht="15" hidden="false" customHeight="false" outlineLevel="0" collapsed="false">
      <c r="A57" s="55" t="s">
        <v>109</v>
      </c>
      <c r="B57" s="55" t="n">
        <v>60</v>
      </c>
      <c r="C57" s="55"/>
      <c r="D57" s="55" t="s">
        <v>429</v>
      </c>
      <c r="E57" s="55"/>
      <c r="F57" s="55"/>
      <c r="G57" s="55"/>
    </row>
    <row r="58" customFormat="false" ht="15" hidden="false" customHeight="false" outlineLevel="0" collapsed="false">
      <c r="A58" s="55" t="s">
        <v>113</v>
      </c>
      <c r="B58" s="55" t="n">
        <v>63</v>
      </c>
      <c r="C58" s="55"/>
      <c r="D58" s="55" t="s">
        <v>430</v>
      </c>
      <c r="E58" s="55"/>
      <c r="F58" s="55"/>
      <c r="G58" s="55"/>
    </row>
    <row r="59" customFormat="false" ht="15" hidden="false" customHeight="false" outlineLevel="0" collapsed="false">
      <c r="A59" s="55" t="s">
        <v>431</v>
      </c>
      <c r="B59" s="55"/>
      <c r="C59" s="55"/>
      <c r="D59" s="55"/>
      <c r="E59" s="55"/>
      <c r="F59" s="55"/>
      <c r="G59" s="55"/>
    </row>
    <row r="60" customFormat="false" ht="15" hidden="false" customHeight="false" outlineLevel="0" collapsed="false">
      <c r="A60" s="55"/>
      <c r="B60" s="55"/>
      <c r="C60" s="55"/>
      <c r="D60" s="55"/>
      <c r="E60" s="55"/>
      <c r="F60" s="55"/>
      <c r="G60" s="55"/>
    </row>
    <row r="61" customFormat="false" ht="15" hidden="false" customHeight="false" outlineLevel="0" collapsed="false">
      <c r="A61" s="56" t="s">
        <v>432</v>
      </c>
      <c r="B61" s="57"/>
      <c r="C61" s="57"/>
      <c r="D61" s="57"/>
      <c r="E61" s="57"/>
      <c r="F61" s="57"/>
      <c r="G61" s="57"/>
    </row>
    <row r="62" customFormat="false" ht="15" hidden="false" customHeight="false" outlineLevel="0" collapsed="false">
      <c r="A62" s="59" t="s">
        <v>433</v>
      </c>
      <c r="B62" s="59" t="s">
        <v>434</v>
      </c>
      <c r="C62" s="59" t="s">
        <v>435</v>
      </c>
      <c r="D62" s="59" t="s">
        <v>436</v>
      </c>
      <c r="E62" s="59" t="s">
        <v>437</v>
      </c>
      <c r="F62" s="59" t="s">
        <v>438</v>
      </c>
      <c r="G62" s="55"/>
    </row>
    <row r="63" customFormat="false" ht="15" hidden="false" customHeight="false" outlineLevel="0" collapsed="false">
      <c r="A63" s="55" t="s">
        <v>46</v>
      </c>
      <c r="B63" s="55" t="n">
        <v>150000</v>
      </c>
      <c r="C63" s="55" t="n">
        <v>130000</v>
      </c>
      <c r="D63" s="55" t="s">
        <v>439</v>
      </c>
      <c r="E63" s="55" t="s">
        <v>440</v>
      </c>
      <c r="F63" s="55" t="n">
        <v>1</v>
      </c>
      <c r="G63" s="55"/>
    </row>
    <row r="64" customFormat="false" ht="15" hidden="false" customHeight="false" outlineLevel="0" collapsed="false">
      <c r="A64" s="55" t="s">
        <v>441</v>
      </c>
      <c r="B64" s="55" t="n">
        <v>2300000</v>
      </c>
      <c r="C64" s="55" t="n">
        <v>2200000</v>
      </c>
      <c r="D64" s="55" t="s">
        <v>439</v>
      </c>
      <c r="E64" s="55" t="s">
        <v>442</v>
      </c>
      <c r="F64" s="55" t="n">
        <v>1</v>
      </c>
      <c r="G64" s="55"/>
    </row>
    <row r="65" customFormat="false" ht="15" hidden="false" customHeight="false" outlineLevel="0" collapsed="false">
      <c r="A65" s="55" t="s">
        <v>443</v>
      </c>
      <c r="B65" s="55" t="n">
        <v>300000</v>
      </c>
      <c r="C65" s="55" t="n">
        <v>300000</v>
      </c>
      <c r="D65" s="55" t="s">
        <v>439</v>
      </c>
      <c r="E65" s="55" t="s">
        <v>442</v>
      </c>
      <c r="F65" s="55" t="n">
        <v>1</v>
      </c>
      <c r="G65" s="55"/>
    </row>
    <row r="66" customFormat="false" ht="15" hidden="false" customHeight="false" outlineLevel="0" collapsed="false">
      <c r="A66" s="55" t="s">
        <v>444</v>
      </c>
      <c r="B66" s="55" t="n">
        <v>180000</v>
      </c>
      <c r="C66" s="55" t="n">
        <v>160000</v>
      </c>
      <c r="D66" s="55" t="s">
        <v>439</v>
      </c>
      <c r="E66" s="55" t="s">
        <v>445</v>
      </c>
      <c r="F66" s="55" t="n">
        <v>1</v>
      </c>
      <c r="G66" s="55"/>
    </row>
    <row r="67" customFormat="false" ht="15" hidden="false" customHeight="false" outlineLevel="0" collapsed="false">
      <c r="A67" s="55" t="s">
        <v>446</v>
      </c>
      <c r="B67" s="55" t="n">
        <v>120000</v>
      </c>
      <c r="C67" s="55" t="n">
        <v>110000</v>
      </c>
      <c r="D67" s="55" t="s">
        <v>439</v>
      </c>
      <c r="E67" s="55" t="s">
        <v>445</v>
      </c>
      <c r="F67" s="55" t="n">
        <v>1</v>
      </c>
      <c r="G67" s="55"/>
    </row>
    <row r="68" customFormat="false" ht="15" hidden="false" customHeight="false" outlineLevel="0" collapsed="false">
      <c r="A68" s="55" t="s">
        <v>447</v>
      </c>
      <c r="B68" s="55" t="n">
        <v>1098000</v>
      </c>
      <c r="C68" s="55" t="n">
        <v>610000</v>
      </c>
      <c r="D68" s="55" t="s">
        <v>439</v>
      </c>
      <c r="E68" s="55" t="s">
        <v>448</v>
      </c>
      <c r="F68" s="55" t="n">
        <v>1</v>
      </c>
      <c r="G68" s="55"/>
    </row>
    <row r="69" customFormat="false" ht="15" hidden="false" customHeight="false" outlineLevel="0" collapsed="false">
      <c r="A69" s="55" t="s">
        <v>449</v>
      </c>
      <c r="B69" s="55" t="n">
        <v>502000</v>
      </c>
      <c r="C69" s="55" t="n">
        <v>660000</v>
      </c>
      <c r="D69" s="55" t="s">
        <v>439</v>
      </c>
      <c r="E69" s="55" t="s">
        <v>448</v>
      </c>
      <c r="F69" s="55" t="n">
        <v>1</v>
      </c>
      <c r="G69" s="55"/>
    </row>
    <row r="70" customFormat="false" ht="15" hidden="false" customHeight="false" outlineLevel="0" collapsed="false">
      <c r="A70" s="55" t="s">
        <v>450</v>
      </c>
      <c r="B70" s="55" t="n">
        <v>12000</v>
      </c>
      <c r="C70" s="55" t="n">
        <v>10000</v>
      </c>
      <c r="D70" s="55" t="s">
        <v>451</v>
      </c>
      <c r="E70" s="55"/>
      <c r="F70" s="55" t="n">
        <v>2</v>
      </c>
      <c r="G70" s="55"/>
    </row>
    <row r="71" customFormat="false" ht="15" hidden="false" customHeight="false" outlineLevel="0" collapsed="false">
      <c r="A71" s="55" t="s">
        <v>74</v>
      </c>
      <c r="B71" s="55" t="n">
        <v>502000</v>
      </c>
      <c r="C71" s="55" t="n">
        <v>369000</v>
      </c>
      <c r="D71" s="55" t="s">
        <v>452</v>
      </c>
      <c r="E71" s="55"/>
      <c r="F71" s="55" t="n">
        <v>3</v>
      </c>
      <c r="G71" s="55"/>
    </row>
    <row r="72" customFormat="false" ht="15" hidden="false" customHeight="false" outlineLevel="0" collapsed="false">
      <c r="A72" s="55"/>
      <c r="B72" s="55"/>
      <c r="C72" s="55"/>
      <c r="D72" s="55"/>
      <c r="E72" s="55"/>
      <c r="F72" s="55"/>
      <c r="G72" s="55"/>
    </row>
    <row r="73" customFormat="false" ht="15" hidden="false" customHeight="false" outlineLevel="0" collapsed="false">
      <c r="A73" s="56" t="s">
        <v>453</v>
      </c>
      <c r="B73" s="57"/>
      <c r="C73" s="57"/>
      <c r="D73" s="57"/>
      <c r="E73" s="57"/>
      <c r="F73" s="57"/>
      <c r="G73" s="57"/>
    </row>
    <row r="74" customFormat="false" ht="15" hidden="false" customHeight="false" outlineLevel="0" collapsed="false">
      <c r="A74" s="59" t="s">
        <v>454</v>
      </c>
      <c r="B74" s="59" t="s">
        <v>434</v>
      </c>
      <c r="C74" s="59" t="s">
        <v>435</v>
      </c>
      <c r="D74" s="59" t="s">
        <v>455</v>
      </c>
      <c r="E74" s="59" t="s">
        <v>456</v>
      </c>
      <c r="F74" s="59" t="s">
        <v>457</v>
      </c>
      <c r="G74" s="59" t="s">
        <v>438</v>
      </c>
    </row>
    <row r="75" customFormat="false" ht="15" hidden="false" customHeight="false" outlineLevel="0" collapsed="false">
      <c r="A75" s="55" t="s">
        <v>458</v>
      </c>
      <c r="B75" s="55" t="n">
        <v>420000</v>
      </c>
      <c r="C75" s="55" t="n">
        <v>380000</v>
      </c>
      <c r="D75" s="55" t="s">
        <v>459</v>
      </c>
      <c r="E75" s="55" t="n">
        <v>1</v>
      </c>
      <c r="F75" s="55" t="s">
        <v>460</v>
      </c>
      <c r="G75" s="55" t="n">
        <v>1</v>
      </c>
    </row>
    <row r="76" customFormat="false" ht="15" hidden="false" customHeight="false" outlineLevel="0" collapsed="false">
      <c r="A76" s="55" t="s">
        <v>461</v>
      </c>
      <c r="B76" s="55" t="n">
        <v>980000</v>
      </c>
      <c r="C76" s="55" t="n">
        <v>860000</v>
      </c>
      <c r="D76" s="55" t="s">
        <v>462</v>
      </c>
      <c r="E76" s="55" t="n">
        <v>1</v>
      </c>
      <c r="F76" s="55" t="s">
        <v>460</v>
      </c>
      <c r="G76" s="55" t="n">
        <v>1</v>
      </c>
    </row>
    <row r="77" customFormat="false" ht="15" hidden="false" customHeight="false" outlineLevel="0" collapsed="false">
      <c r="A77" s="55" t="s">
        <v>26</v>
      </c>
      <c r="B77" s="55" t="n">
        <v>1350000</v>
      </c>
      <c r="C77" s="55" t="n">
        <v>1150000</v>
      </c>
      <c r="D77" s="55" t="s">
        <v>463</v>
      </c>
      <c r="E77" s="55" t="n">
        <v>1</v>
      </c>
      <c r="F77" s="55" t="s">
        <v>460</v>
      </c>
      <c r="G77" s="55" t="n">
        <v>1</v>
      </c>
    </row>
    <row r="78" customFormat="false" ht="15" hidden="false" customHeight="false" outlineLevel="0" collapsed="false">
      <c r="A78" s="55" t="s">
        <v>47</v>
      </c>
      <c r="B78" s="55" t="n">
        <v>2900000</v>
      </c>
      <c r="C78" s="55" t="n">
        <v>2520000</v>
      </c>
      <c r="D78" s="55" t="s">
        <v>464</v>
      </c>
      <c r="E78" s="55" t="n">
        <v>1</v>
      </c>
      <c r="F78" s="55" t="s">
        <v>460</v>
      </c>
      <c r="G78" s="55" t="n">
        <v>1</v>
      </c>
    </row>
    <row r="79" customFormat="false" ht="15" hidden="false" customHeight="false" outlineLevel="0" collapsed="false">
      <c r="A79" s="55" t="s">
        <v>465</v>
      </c>
      <c r="B79" s="55" t="n">
        <v>2600000</v>
      </c>
      <c r="C79" s="55" t="n">
        <v>2500000</v>
      </c>
      <c r="D79" s="55" t="s">
        <v>466</v>
      </c>
      <c r="E79" s="55" t="n">
        <v>1</v>
      </c>
      <c r="F79" s="55" t="s">
        <v>460</v>
      </c>
      <c r="G79" s="55" t="n">
        <v>1</v>
      </c>
    </row>
    <row r="80" customFormat="false" ht="15" hidden="false" customHeight="false" outlineLevel="0" collapsed="false">
      <c r="A80" s="55" t="s">
        <v>50</v>
      </c>
      <c r="B80" s="55" t="n">
        <v>5500000</v>
      </c>
      <c r="C80" s="55" t="n">
        <v>5020000</v>
      </c>
      <c r="D80" s="55" t="s">
        <v>467</v>
      </c>
      <c r="E80" s="55" t="n">
        <v>1</v>
      </c>
      <c r="F80" s="55" t="s">
        <v>460</v>
      </c>
      <c r="G80" s="55" t="n">
        <v>1</v>
      </c>
    </row>
    <row r="81" customFormat="false" ht="15" hidden="false" customHeight="false" outlineLevel="0" collapsed="false">
      <c r="A81" s="55" t="s">
        <v>468</v>
      </c>
      <c r="B81" s="55" t="n">
        <v>700000</v>
      </c>
      <c r="C81" s="55" t="n">
        <v>650000</v>
      </c>
      <c r="D81" s="55" t="s">
        <v>469</v>
      </c>
      <c r="E81" s="55" t="n">
        <v>1</v>
      </c>
      <c r="F81" s="55" t="s">
        <v>460</v>
      </c>
      <c r="G81" s="55" t="n">
        <v>1</v>
      </c>
    </row>
    <row r="82" customFormat="false" ht="15" hidden="false" customHeight="false" outlineLevel="0" collapsed="false">
      <c r="A82" s="55" t="s">
        <v>53</v>
      </c>
      <c r="B82" s="55" t="n">
        <v>900000</v>
      </c>
      <c r="C82" s="55" t="n">
        <v>780000</v>
      </c>
      <c r="D82" s="55" t="s">
        <v>470</v>
      </c>
      <c r="E82" s="55" t="n">
        <v>1</v>
      </c>
      <c r="F82" s="55" t="s">
        <v>460</v>
      </c>
      <c r="G82" s="55" t="n">
        <v>1</v>
      </c>
    </row>
    <row r="83" customFormat="false" ht="15" hidden="false" customHeight="false" outlineLevel="0" collapsed="false">
      <c r="A83" s="55" t="s">
        <v>56</v>
      </c>
      <c r="B83" s="55" t="n">
        <v>1900000</v>
      </c>
      <c r="C83" s="55" t="n">
        <v>1700000</v>
      </c>
      <c r="D83" s="55" t="s">
        <v>471</v>
      </c>
      <c r="E83" s="55" t="n">
        <v>1</v>
      </c>
      <c r="F83" s="55" t="s">
        <v>460</v>
      </c>
      <c r="G83" s="55" t="n">
        <v>1</v>
      </c>
    </row>
    <row r="84" customFormat="false" ht="15" hidden="false" customHeight="false" outlineLevel="0" collapsed="false">
      <c r="A84" s="55" t="s">
        <v>468</v>
      </c>
      <c r="B84" s="55" t="n">
        <v>1200000</v>
      </c>
      <c r="C84" s="55" t="n">
        <v>1250000</v>
      </c>
      <c r="D84" s="55" t="s">
        <v>472</v>
      </c>
      <c r="E84" s="55" t="n">
        <v>1</v>
      </c>
      <c r="F84" s="55" t="s">
        <v>460</v>
      </c>
      <c r="G84" s="55" t="n">
        <v>1</v>
      </c>
    </row>
    <row r="85" customFormat="false" ht="15" hidden="false" customHeight="false" outlineLevel="0" collapsed="false">
      <c r="A85" s="55" t="s">
        <v>473</v>
      </c>
      <c r="B85" s="55" t="n">
        <v>1200000</v>
      </c>
      <c r="C85" s="55" t="n">
        <v>1250000</v>
      </c>
      <c r="D85" s="55" t="s">
        <v>474</v>
      </c>
      <c r="E85" s="55" t="n">
        <v>1</v>
      </c>
      <c r="F85" s="55" t="s">
        <v>460</v>
      </c>
      <c r="G85" s="55" t="n">
        <v>1</v>
      </c>
    </row>
    <row r="86" customFormat="false" ht="15" hidden="false" customHeight="false" outlineLevel="0" collapsed="false">
      <c r="A86" s="55" t="s">
        <v>58</v>
      </c>
      <c r="B86" s="55" t="n">
        <v>3100000</v>
      </c>
      <c r="C86" s="55" t="n">
        <v>2950000</v>
      </c>
      <c r="D86" s="55" t="s">
        <v>475</v>
      </c>
      <c r="E86" s="55" t="n">
        <v>1</v>
      </c>
      <c r="F86" s="55" t="s">
        <v>460</v>
      </c>
      <c r="G86" s="55" t="n">
        <v>1</v>
      </c>
    </row>
    <row r="87" customFormat="false" ht="15" hidden="false" customHeight="false" outlineLevel="0" collapsed="false">
      <c r="A87" s="55" t="s">
        <v>476</v>
      </c>
      <c r="B87" s="55" t="n">
        <v>800000</v>
      </c>
      <c r="C87" s="55" t="n">
        <v>800000</v>
      </c>
      <c r="D87" s="55" t="s">
        <v>477</v>
      </c>
      <c r="E87" s="55" t="n">
        <v>1</v>
      </c>
      <c r="F87" s="55" t="s">
        <v>460</v>
      </c>
      <c r="G87" s="55" t="n">
        <v>1</v>
      </c>
    </row>
    <row r="88" customFormat="false" ht="15" hidden="false" customHeight="false" outlineLevel="0" collapsed="false">
      <c r="A88" s="55" t="s">
        <v>478</v>
      </c>
      <c r="B88" s="55" t="n">
        <v>2400000</v>
      </c>
      <c r="C88" s="55" t="n">
        <v>2070000</v>
      </c>
      <c r="D88" s="55" t="s">
        <v>479</v>
      </c>
      <c r="E88" s="55" t="n">
        <v>1</v>
      </c>
      <c r="F88" s="55" t="s">
        <v>460</v>
      </c>
      <c r="G88" s="55" t="n">
        <v>1</v>
      </c>
    </row>
    <row r="89" customFormat="false" ht="15" hidden="false" customHeight="false" outlineLevel="0" collapsed="false">
      <c r="A89" s="55" t="s">
        <v>480</v>
      </c>
      <c r="B89" s="55" t="n">
        <v>5500000</v>
      </c>
      <c r="C89" s="55" t="n">
        <v>5020000</v>
      </c>
      <c r="D89" s="55" t="s">
        <v>481</v>
      </c>
      <c r="E89" s="55" t="n">
        <v>1</v>
      </c>
      <c r="F89" s="55" t="s">
        <v>460</v>
      </c>
      <c r="G89" s="55" t="n">
        <v>1</v>
      </c>
    </row>
    <row r="90" customFormat="false" ht="15" hidden="false" customHeight="false" outlineLevel="0" collapsed="false">
      <c r="A90" s="55" t="s">
        <v>482</v>
      </c>
      <c r="B90" s="55" t="n">
        <v>5050000</v>
      </c>
      <c r="C90" s="55" t="n">
        <v>4450000</v>
      </c>
      <c r="D90" s="55" t="s">
        <v>483</v>
      </c>
      <c r="E90" s="55" t="n">
        <v>1</v>
      </c>
      <c r="F90" s="55" t="s">
        <v>460</v>
      </c>
      <c r="G90" s="55" t="n">
        <v>2</v>
      </c>
    </row>
    <row r="91" customFormat="false" ht="15" hidden="false" customHeight="false" outlineLevel="0" collapsed="false">
      <c r="A91" s="55" t="s">
        <v>64</v>
      </c>
      <c r="B91" s="55" t="n">
        <v>-3300000</v>
      </c>
      <c r="C91" s="55" t="n">
        <v>-2950000</v>
      </c>
      <c r="D91" s="55" t="s">
        <v>484</v>
      </c>
      <c r="E91" s="55" t="n">
        <v>1</v>
      </c>
      <c r="F91" s="55" t="s">
        <v>460</v>
      </c>
      <c r="G91" s="55" t="n">
        <v>2</v>
      </c>
    </row>
    <row r="92" customFormat="false" ht="15" hidden="false" customHeight="false" outlineLevel="0" collapsed="false">
      <c r="A92" s="55" t="s">
        <v>71</v>
      </c>
      <c r="B92" s="55" t="n">
        <v>1750000</v>
      </c>
      <c r="C92" s="55" t="n">
        <v>1500000</v>
      </c>
      <c r="D92" s="55" t="s">
        <v>485</v>
      </c>
      <c r="E92" s="55" t="n">
        <v>1</v>
      </c>
      <c r="F92" s="55" t="s">
        <v>460</v>
      </c>
      <c r="G92" s="55" t="n">
        <v>2</v>
      </c>
    </row>
    <row r="93" customFormat="false" ht="15" hidden="false" customHeight="false" outlineLevel="0" collapsed="false">
      <c r="A93" s="55" t="s">
        <v>486</v>
      </c>
      <c r="B93" s="55" t="n">
        <v>-520000</v>
      </c>
      <c r="C93" s="55" t="n">
        <v>-490000</v>
      </c>
      <c r="D93" s="55" t="s">
        <v>487</v>
      </c>
      <c r="E93" s="55" t="n">
        <v>1</v>
      </c>
      <c r="F93" s="55" t="s">
        <v>460</v>
      </c>
      <c r="G93" s="55" t="n">
        <v>2</v>
      </c>
    </row>
    <row r="94" customFormat="false" ht="15" hidden="false" customHeight="false" outlineLevel="0" collapsed="false">
      <c r="A94" s="55" t="s">
        <v>488</v>
      </c>
      <c r="B94" s="55" t="n">
        <v>-380000</v>
      </c>
      <c r="C94" s="55" t="n">
        <v>-360000</v>
      </c>
      <c r="D94" s="55" t="s">
        <v>487</v>
      </c>
      <c r="E94" s="55" t="n">
        <v>1</v>
      </c>
      <c r="F94" s="55" t="s">
        <v>460</v>
      </c>
      <c r="G94" s="55" t="n">
        <v>2</v>
      </c>
    </row>
    <row r="95" customFormat="false" ht="15" hidden="false" customHeight="false" outlineLevel="0" collapsed="false">
      <c r="A95" s="55" t="s">
        <v>73</v>
      </c>
      <c r="B95" s="55" t="n">
        <v>850000</v>
      </c>
      <c r="C95" s="55" t="n">
        <v>650000</v>
      </c>
      <c r="D95" s="55" t="s">
        <v>489</v>
      </c>
      <c r="E95" s="55" t="n">
        <v>1</v>
      </c>
      <c r="F95" s="55" t="s">
        <v>460</v>
      </c>
      <c r="G95" s="55" t="n">
        <v>2</v>
      </c>
    </row>
    <row r="96" customFormat="false" ht="15" hidden="false" customHeight="false" outlineLevel="0" collapsed="false">
      <c r="A96" s="55" t="s">
        <v>68</v>
      </c>
      <c r="B96" s="55" t="n">
        <v>-98000</v>
      </c>
      <c r="C96" s="55" t="n">
        <v>-91000</v>
      </c>
      <c r="D96" s="55" t="s">
        <v>490</v>
      </c>
      <c r="E96" s="55" t="n">
        <v>1</v>
      </c>
      <c r="F96" s="55" t="s">
        <v>460</v>
      </c>
      <c r="G96" s="55" t="n">
        <v>2</v>
      </c>
    </row>
    <row r="97" customFormat="false" ht="15" hidden="false" customHeight="false" outlineLevel="0" collapsed="false">
      <c r="A97" s="55" t="s">
        <v>491</v>
      </c>
      <c r="B97" s="55" t="n">
        <v>-250000</v>
      </c>
      <c r="C97" s="55" t="n">
        <v>-190000</v>
      </c>
      <c r="D97" s="55" t="s">
        <v>492</v>
      </c>
      <c r="E97" s="55" t="n">
        <v>1</v>
      </c>
      <c r="F97" s="55" t="s">
        <v>460</v>
      </c>
      <c r="G97" s="55" t="n">
        <v>2</v>
      </c>
    </row>
    <row r="98" customFormat="false" ht="15" hidden="false" customHeight="false" outlineLevel="0" collapsed="false">
      <c r="A98" s="55" t="s">
        <v>74</v>
      </c>
      <c r="B98" s="55" t="n">
        <v>502000</v>
      </c>
      <c r="C98" s="55" t="n">
        <v>369000</v>
      </c>
      <c r="D98" s="55" t="s">
        <v>493</v>
      </c>
      <c r="E98" s="55" t="n">
        <v>1</v>
      </c>
      <c r="F98" s="55" t="s">
        <v>460</v>
      </c>
      <c r="G98" s="55" t="n">
        <v>2</v>
      </c>
    </row>
    <row r="99" customFormat="false" ht="15" hidden="false" customHeight="false" outlineLevel="0" collapsed="false">
      <c r="A99" s="55" t="s">
        <v>67</v>
      </c>
      <c r="B99" s="55" t="n">
        <v>112000</v>
      </c>
      <c r="C99" s="55" t="n">
        <v>105000</v>
      </c>
      <c r="D99" s="55" t="s">
        <v>494</v>
      </c>
      <c r="E99" s="55" t="n">
        <v>1</v>
      </c>
      <c r="F99" s="55" t="s">
        <v>460</v>
      </c>
      <c r="G99" s="55" t="n">
        <v>3</v>
      </c>
    </row>
    <row r="100" customFormat="false" ht="15" hidden="false" customHeight="false" outlineLevel="0" collapsed="false">
      <c r="A100" s="55" t="s">
        <v>495</v>
      </c>
      <c r="B100" s="55" t="n">
        <v>305000</v>
      </c>
      <c r="C100" s="55" t="n">
        <v>270000</v>
      </c>
      <c r="D100" s="55" t="s">
        <v>496</v>
      </c>
      <c r="E100" s="55" t="n">
        <v>1</v>
      </c>
      <c r="F100" s="55" t="s">
        <v>460</v>
      </c>
      <c r="G100" s="55" t="n">
        <v>3</v>
      </c>
    </row>
    <row r="101" customFormat="false" ht="15" hidden="false" customHeight="false" outlineLevel="0" collapsed="false">
      <c r="A101" s="55" t="s">
        <v>497</v>
      </c>
      <c r="B101" s="55" t="n">
        <v>-150000</v>
      </c>
      <c r="C101" s="55" t="n">
        <v>-130000</v>
      </c>
      <c r="D101" s="55" t="s">
        <v>498</v>
      </c>
      <c r="E101" s="55" t="n">
        <v>1</v>
      </c>
      <c r="F101" s="55" t="s">
        <v>460</v>
      </c>
      <c r="G101" s="55" t="n">
        <v>3</v>
      </c>
    </row>
    <row r="102" customFormat="false" ht="15" hidden="false" customHeight="false" outlineLevel="0" collapsed="false">
      <c r="A102" s="55" t="s">
        <v>499</v>
      </c>
      <c r="B102" s="55" t="n">
        <v>-115000</v>
      </c>
      <c r="C102" s="55" t="n">
        <v>-110000</v>
      </c>
      <c r="D102" s="55" t="s">
        <v>500</v>
      </c>
      <c r="E102" s="55" t="n">
        <v>1</v>
      </c>
      <c r="F102" s="55" t="s">
        <v>460</v>
      </c>
      <c r="G102" s="55" t="n">
        <v>3</v>
      </c>
    </row>
    <row r="103" customFormat="false" ht="15" hidden="false" customHeight="false" outlineLevel="0" collapsed="false">
      <c r="A103" s="55" t="s">
        <v>501</v>
      </c>
      <c r="B103" s="55" t="n">
        <v>-98000</v>
      </c>
      <c r="C103" s="55" t="n">
        <v>-91000</v>
      </c>
      <c r="D103" s="55" t="s">
        <v>502</v>
      </c>
      <c r="E103" s="55" t="n">
        <v>1</v>
      </c>
      <c r="F103" s="55" t="s">
        <v>460</v>
      </c>
      <c r="G103" s="55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36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54" t="s">
        <v>503</v>
      </c>
    </row>
    <row r="3" customFormat="false" ht="15" hidden="false" customHeight="false" outlineLevel="0" collapsed="false">
      <c r="A3" s="59" t="s">
        <v>42</v>
      </c>
      <c r="B3" s="59" t="s">
        <v>504</v>
      </c>
      <c r="C3" s="59" t="s">
        <v>505</v>
      </c>
      <c r="D3" s="59" t="s">
        <v>506</v>
      </c>
    </row>
    <row r="4" customFormat="false" ht="75" hidden="false" customHeight="true" outlineLevel="0" collapsed="false">
      <c r="A4" s="1" t="n">
        <v>1</v>
      </c>
      <c r="B4" s="1" t="s">
        <v>507</v>
      </c>
      <c r="C4" s="1"/>
      <c r="D4" s="61" t="s">
        <v>508</v>
      </c>
    </row>
    <row r="5" customFormat="false" ht="75" hidden="false" customHeight="true" outlineLevel="0" collapsed="false">
      <c r="A5" s="1" t="n">
        <v>6</v>
      </c>
      <c r="B5" s="1" t="s">
        <v>509</v>
      </c>
      <c r="C5" s="1" t="s">
        <v>24</v>
      </c>
      <c r="D5" s="61" t="s">
        <v>510</v>
      </c>
    </row>
    <row r="6" customFormat="false" ht="75" hidden="false" customHeight="true" outlineLevel="0" collapsed="false">
      <c r="A6" s="1" t="n">
        <v>7</v>
      </c>
      <c r="B6" s="1" t="s">
        <v>26</v>
      </c>
      <c r="C6" s="1" t="s">
        <v>511</v>
      </c>
      <c r="D6" s="61" t="s">
        <v>512</v>
      </c>
    </row>
    <row r="7" customFormat="false" ht="75" hidden="false" customHeight="true" outlineLevel="0" collapsed="false">
      <c r="A7" s="1" t="n">
        <v>9</v>
      </c>
      <c r="B7" s="1" t="s">
        <v>468</v>
      </c>
      <c r="C7" s="1" t="s">
        <v>513</v>
      </c>
      <c r="D7" s="61" t="s">
        <v>514</v>
      </c>
    </row>
    <row r="8" customFormat="false" ht="75" hidden="false" customHeight="true" outlineLevel="0" collapsed="false">
      <c r="A8" s="1" t="n">
        <v>12</v>
      </c>
      <c r="B8" s="1" t="s">
        <v>515</v>
      </c>
      <c r="C8" s="1" t="s">
        <v>515</v>
      </c>
      <c r="D8" s="61" t="s">
        <v>516</v>
      </c>
    </row>
    <row r="9" customFormat="false" ht="75" hidden="false" customHeight="true" outlineLevel="0" collapsed="false">
      <c r="A9" s="1" t="n">
        <v>13</v>
      </c>
      <c r="B9" s="1" t="s">
        <v>517</v>
      </c>
      <c r="C9" s="1" t="s">
        <v>518</v>
      </c>
      <c r="D9" s="61" t="s">
        <v>519</v>
      </c>
    </row>
    <row r="10" customFormat="false" ht="75" hidden="false" customHeight="true" outlineLevel="0" collapsed="false">
      <c r="A10" s="1" t="n">
        <v>14</v>
      </c>
      <c r="B10" s="1" t="s">
        <v>520</v>
      </c>
      <c r="C10" s="1" t="s">
        <v>520</v>
      </c>
      <c r="D10" s="61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2026-10-06T02:11:38Z</dcterms:created>
  <dc:creator>openpyxl</dc:creator>
  <dc:description/>
  <dc:language>en-US</dc:language>
  <cp:lastModifiedBy/>
  <dcterms:modified xsi:type="dcterms:W3CDTF">2026-10-06T02:11:41Z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